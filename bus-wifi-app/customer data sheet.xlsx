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ZLT_S12_PLUS" sheetId="2" r:id="rId6"/>
    <sheet state="visible" name="sim serial no." sheetId="3" r:id="rId7"/>
    <sheet state="visible" name="ncell sim" sheetId="4" r:id="rId8"/>
    <sheet state="visible" name="NTC BIRGUNJ" sheetId="5" r:id="rId9"/>
    <sheet state="visible" name="h1c serial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tc={01a300a8-d568-4b34-accd-92d7e2167cbe}</author>
    <author>tc={2a2ff8be-200f-4ab5-8220-2cde67ef6cbb}</author>
    <author>tc={7d792c65-12fc-48d4-be8d-1e6bc1b60f14}</author>
    <author>tc={88fc128b-40a9-4a46-b1bb-b7fa2a76fcf8}</author>
    <author>tc={b8acfef7-164f-4679-ac35-dd5f86f65ec6}</author>
    <author>tc={d9f489ce-a889-4d8a-a2ed-0149e0ff6040}</author>
    <author>tc={dbf37084-ce3b-4362-b356-a15cef84d986}</author>
    <author>tc={fa3b10cc-51e9-4675-b816-7efbfc67cb7a}</author>
  </authors>
  <commentList>
    <comment authorId="0" xr:uid="{01a300a8-d568-4b34-accd-92d7e2167cbe}" ref="AA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WIFI STOPED
</t>
      </text>
    </comment>
    <comment authorId="1" xr:uid="{2a2ff8be-200f-4ab5-8220-2cde67ef6cbb}" ref="N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camera installed at 2025-12-09
</t>
      </text>
    </comment>
    <comment authorId="2" xr:uid="{7d792c65-12fc-48d4-be8d-1e6bc1b60f14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card transferred to redhorse_2903
</t>
      </text>
    </comment>
    <comment authorId="3" xr:uid="{88fc128b-40a9-4a46-b1bb-b7fa2a76fcf8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puk no. invalid
</t>
      </text>
    </comment>
    <comment authorId="4" xr:uid="{b8acfef7-164f-4679-ac35-dd5f86f65ec6}" ref="X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month done last 1 month remaining
</t>
      </text>
    </comment>
    <comment authorId="5" xr:uid="{d9f489ce-a889-4d8a-a2ed-0149e0ff6040}" ref="V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recharge only, no service
</t>
      </text>
    </comment>
    <comment authorId="6" xr:uid="{dbf37084-ce3b-4362-b356-a15cef84d986}" ref="S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internet cut 2025-12-10
</t>
      </text>
    </comment>
    <comment authorId="7" xr:uid="{fa3b10cc-51e9-4675-b816-7efbfc67cb7a}" ref="V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2025-12-05 internet stopped
</t>
      </text>
    </comment>
  </commentList>
</comments>
</file>

<file path=xl/sharedStrings.xml><?xml version="1.0" encoding="utf-8"?>
<sst xmlns="http://schemas.openxmlformats.org/spreadsheetml/2006/main" count="4704" uniqueCount="2146">
  <si>
    <t>Timestamp</t>
  </si>
  <si>
    <t>Bus Owner Name</t>
  </si>
  <si>
    <t>Address</t>
  </si>
  <si>
    <t>Contact No.</t>
  </si>
  <si>
    <t>Company Name</t>
  </si>
  <si>
    <t>Installed by</t>
  </si>
  <si>
    <t>TYPE</t>
  </si>
  <si>
    <t>Bus Route</t>
  </si>
  <si>
    <t>kathmandu parking</t>
  </si>
  <si>
    <t>destination parking</t>
  </si>
  <si>
    <t>Ezviz Username</t>
  </si>
  <si>
    <t>Ezviz Password</t>
  </si>
  <si>
    <t>V. No.</t>
  </si>
  <si>
    <t>Camera Serial No.</t>
  </si>
  <si>
    <t>Verification Code</t>
  </si>
  <si>
    <t>Device Serial No.</t>
  </si>
  <si>
    <t>ISP</t>
  </si>
  <si>
    <t>Sim Serial No.</t>
  </si>
  <si>
    <t>sim no.</t>
  </si>
  <si>
    <t>PUK 1</t>
  </si>
  <si>
    <t>PUK 2</t>
  </si>
  <si>
    <t>Internet 
Activation Date</t>
  </si>
  <si>
    <t>Internet 
Expiry Date</t>
  </si>
  <si>
    <t>Internet 
Package Type</t>
  </si>
  <si>
    <t>STATUS</t>
  </si>
  <si>
    <t>DAY LEFT</t>
  </si>
  <si>
    <t>INTERNET EXPIRY</t>
  </si>
  <si>
    <t>SSID Name</t>
  </si>
  <si>
    <t>SSID Password</t>
  </si>
  <si>
    <t>GPS Username</t>
  </si>
  <si>
    <t>GPS Password</t>
  </si>
  <si>
    <t>imei no.</t>
  </si>
  <si>
    <t>Remarks</t>
  </si>
  <si>
    <t>staff number</t>
  </si>
  <si>
    <t>PUK1</t>
  </si>
  <si>
    <t>PUK2</t>
  </si>
  <si>
    <t>time of data expiry</t>
  </si>
  <si>
    <t>sim validity expiry date</t>
  </si>
  <si>
    <t>Column 1</t>
  </si>
  <si>
    <t>shekhar nath sitaula</t>
  </si>
  <si>
    <t>kathmandu</t>
  </si>
  <si>
    <t>bullet air bus</t>
  </si>
  <si>
    <t>balram</t>
  </si>
  <si>
    <t>Bus</t>
  </si>
  <si>
    <t>kathmandu to birgunj</t>
  </si>
  <si>
    <t>GONGABU BUSPARK</t>
  </si>
  <si>
    <t>Surendra@123</t>
  </si>
  <si>
    <t>G21095582</t>
  </si>
  <si>
    <t>ntc</t>
  </si>
  <si>
    <t>8997701012480376041</t>
  </si>
  <si>
    <t>6 month</t>
  </si>
  <si>
    <t>Bullet_ac_5857</t>
  </si>
  <si>
    <t>Bullet@5857</t>
  </si>
  <si>
    <t>N/A</t>
  </si>
  <si>
    <t>NO sim no.
no camera sn and vedrification</t>
  </si>
  <si>
    <t>krishna hamal</t>
  </si>
  <si>
    <t>beni</t>
  </si>
  <si>
    <t>jaljalla</t>
  </si>
  <si>
    <t>kathmandu to beni</t>
  </si>
  <si>
    <t>shresthachinu56@gmail.com</t>
  </si>
  <si>
    <t>Shrestha@123</t>
  </si>
  <si>
    <t>BG0435632</t>
  </si>
  <si>
    <t>K3100U1B2DA6</t>
  </si>
  <si>
    <t>6 MONTH</t>
  </si>
  <si>
    <t>Jaljalla_7334</t>
  </si>
  <si>
    <t>Jaljalla@7334</t>
  </si>
  <si>
    <t>NO camera 
no GPS</t>
  </si>
  <si>
    <t>shakti</t>
  </si>
  <si>
    <t>nepalgunj</t>
  </si>
  <si>
    <t>darbar</t>
  </si>
  <si>
    <t>kathmandu to nepalgunj</t>
  </si>
  <si>
    <t>shakti@123</t>
  </si>
  <si>
    <t>BC6567878
BC6568156</t>
  </si>
  <si>
    <t>VYPHTY</t>
  </si>
  <si>
    <t>NTC</t>
  </si>
  <si>
    <t>8997701012480363569</t>
  </si>
  <si>
    <t>1 YEAR</t>
  </si>
  <si>
    <t>Darbar_0024</t>
  </si>
  <si>
    <t>careofshakti@gmail.com</t>
  </si>
  <si>
    <t>no bus num,nosim num</t>
  </si>
  <si>
    <t>2025/0119</t>
  </si>
  <si>
    <t>mukund raj kc</t>
  </si>
  <si>
    <t>KATHMANDU TO NEPALGUNJ</t>
  </si>
  <si>
    <t>darbar@123</t>
  </si>
  <si>
    <t>BC1116332</t>
  </si>
  <si>
    <t>VKPMWI</t>
  </si>
  <si>
    <t>8997701012480379276</t>
  </si>
  <si>
    <t>2 month</t>
  </si>
  <si>
    <t>DARBAR_0025</t>
  </si>
  <si>
    <t>9766201161#@</t>
  </si>
  <si>
    <t>NO GPS</t>
  </si>
  <si>
    <t>2024/23/12</t>
  </si>
  <si>
    <t>DIPENDRA BUDATHOKI</t>
  </si>
  <si>
    <t>Trishul</t>
  </si>
  <si>
    <t>Dipendra@123</t>
  </si>
  <si>
    <t>BC4116090</t>
  </si>
  <si>
    <t>LHJRNR</t>
  </si>
  <si>
    <t>Ncell</t>
  </si>
  <si>
    <t>1 ncell</t>
  </si>
  <si>
    <t>Trishul_4243</t>
  </si>
  <si>
    <t>data expriry</t>
  </si>
  <si>
    <t>mohan kafle</t>
  </si>
  <si>
    <t>trishul air bus</t>
  </si>
  <si>
    <t>bus</t>
  </si>
  <si>
    <t>Trishul_4242</t>
  </si>
  <si>
    <t>Trishul@4242</t>
  </si>
  <si>
    <t xml:space="preserve">Ganesh Shrestha </t>
  </si>
  <si>
    <t>Bageshwori</t>
  </si>
  <si>
    <t>Hiece</t>
  </si>
  <si>
    <t>nishanshrestha866@gmail.com</t>
  </si>
  <si>
    <t>Ganesh@123</t>
  </si>
  <si>
    <t>G21095064</t>
  </si>
  <si>
    <t>8997701012480367750</t>
  </si>
  <si>
    <t>Bageshwori_7302</t>
  </si>
  <si>
    <t>bibek bashyal</t>
  </si>
  <si>
    <t>8997701062352177100</t>
  </si>
  <si>
    <t>1 Month</t>
  </si>
  <si>
    <t>Bageshwori_7301</t>
  </si>
  <si>
    <t>uddap giri</t>
  </si>
  <si>
    <t>itahari</t>
  </si>
  <si>
    <t>saugat</t>
  </si>
  <si>
    <t>ktm to dharan</t>
  </si>
  <si>
    <t>uddhap@123</t>
  </si>
  <si>
    <t>BC1116138
BC3730430
BC3730381</t>
  </si>
  <si>
    <t>EAFOOG
GTCOBU
YKKCJY</t>
  </si>
  <si>
    <t>997701062352177670</t>
  </si>
  <si>
    <t>Saugat_1937</t>
  </si>
  <si>
    <t>Saugat@1937</t>
  </si>
  <si>
    <t>HARI DAI</t>
  </si>
  <si>
    <t>HETAUDA</t>
  </si>
  <si>
    <t>DIAMOND AIR BUS</t>
  </si>
  <si>
    <t>KTM TO KAKARVITA</t>
  </si>
  <si>
    <t>JORPATTI GANPATI TOWER</t>
  </si>
  <si>
    <t>Krishna@123</t>
  </si>
  <si>
    <t>G21095890</t>
  </si>
  <si>
    <t>BZEOBY</t>
  </si>
  <si>
    <t>8997701062352331491</t>
  </si>
  <si>
    <t>1 MONTH</t>
  </si>
  <si>
    <t>Diamondair_5693</t>
  </si>
  <si>
    <t>Diamond@5693</t>
  </si>
  <si>
    <t>NO GPS
NO ANTEENA</t>
  </si>
  <si>
    <t>18765303
no puk</t>
  </si>
  <si>
    <t>15699158
no puk</t>
  </si>
  <si>
    <t>BIKRAM PRADHAN</t>
  </si>
  <si>
    <t>BUS</t>
  </si>
  <si>
    <t>ktm to nepalgunj</t>
  </si>
  <si>
    <t>Bikram@123</t>
  </si>
  <si>
    <t>G21095392
G21095356</t>
  </si>
  <si>
    <t>WTHXUH
CPTXMQ</t>
  </si>
  <si>
    <t>8997701012480366661</t>
  </si>
  <si>
    <t>3 month</t>
  </si>
  <si>
    <t>Darbar_0081</t>
  </si>
  <si>
    <t>no gps 
no antena
no dates</t>
  </si>
  <si>
    <t>dhurba tara shen</t>
  </si>
  <si>
    <t>balencity</t>
  </si>
  <si>
    <t>ktm to neplgunj</t>
  </si>
  <si>
    <t>Dhurba@123</t>
  </si>
  <si>
    <t>BC0833665
BC0570013</t>
  </si>
  <si>
    <t>ASOEFM
IRUSPF</t>
  </si>
  <si>
    <t>2 ncell</t>
  </si>
  <si>
    <t>Balencity_4159</t>
  </si>
  <si>
    <t>nogps</t>
  </si>
  <si>
    <t>ujjawa dhakkal</t>
  </si>
  <si>
    <t>HAMRO AIR BUS</t>
  </si>
  <si>
    <t>ktm to dhanusa manara</t>
  </si>
  <si>
    <t>ujwal@123</t>
  </si>
  <si>
    <t>F83794717
G21095455</t>
  </si>
  <si>
    <t>JVONIH
DTTWPR</t>
  </si>
  <si>
    <t>9887701012480365044</t>
  </si>
  <si>
    <t>HAMRO_5235</t>
  </si>
  <si>
    <t>8997701012480365028</t>
  </si>
  <si>
    <t>Hamro_5236</t>
  </si>
  <si>
    <t>sagar adhikari</t>
  </si>
  <si>
    <t>pokhara</t>
  </si>
  <si>
    <t>adhikari</t>
  </si>
  <si>
    <t>ktm to pokhara</t>
  </si>
  <si>
    <t>SAKHU JORPATI</t>
  </si>
  <si>
    <t>8997701012479879831</t>
  </si>
  <si>
    <t>Adhikari_310</t>
  </si>
  <si>
    <t>Adhikari_1797</t>
  </si>
  <si>
    <t>Adhikari@1797</t>
  </si>
  <si>
    <t>8997701062352332853</t>
  </si>
  <si>
    <t>Adhikari_1796</t>
  </si>
  <si>
    <t>Adhikari@1796</t>
  </si>
  <si>
    <t>kamal subedi</t>
  </si>
  <si>
    <t>udaypur</t>
  </si>
  <si>
    <t>sagarmatha</t>
  </si>
  <si>
    <t>ktm to gaighat</t>
  </si>
  <si>
    <t>kamal@123</t>
  </si>
  <si>
    <t>BC1116219</t>
  </si>
  <si>
    <t>WPUZRT</t>
  </si>
  <si>
    <t>8997701012479879138</t>
  </si>
  <si>
    <t>sagarmatha_7024</t>
  </si>
  <si>
    <t xml:space="preserve">                         no gps</t>
  </si>
  <si>
    <t>rajendra prasad poudel</t>
  </si>
  <si>
    <t>narayanghat</t>
  </si>
  <si>
    <t>kripa air bus</t>
  </si>
  <si>
    <t>naranghat to kakarvitta</t>
  </si>
  <si>
    <t>NARAYANGHAT BUSPARK</t>
  </si>
  <si>
    <t>KAKARVITTA</t>
  </si>
  <si>
    <t>Rajendra@123</t>
  </si>
  <si>
    <t>BC6568436
BC6568036</t>
  </si>
  <si>
    <t>GRFCBL
SEPVAA</t>
  </si>
  <si>
    <t>8997701012479879872</t>
  </si>
  <si>
    <t>Kripa_0172</t>
  </si>
  <si>
    <t>kripeshpoudel2006@gmail.com</t>
  </si>
  <si>
    <t>Kripesh@123</t>
  </si>
  <si>
    <t>2025-0213</t>
  </si>
  <si>
    <t>Surendra lamsal</t>
  </si>
  <si>
    <t>Shuv laxmi air bus</t>
  </si>
  <si>
    <t>narayanghat to biratnaga</t>
  </si>
  <si>
    <t>sangamlamsal10@gmail.com</t>
  </si>
  <si>
    <t>viscabarca@123</t>
  </si>
  <si>
    <t>8997701012482859093</t>
  </si>
  <si>
    <t>9760825010
9712029932</t>
  </si>
  <si>
    <t>1 month</t>
  </si>
  <si>
    <t>2026-08-25
2026-04-14</t>
  </si>
  <si>
    <t>shuvlaxmi_1812</t>
  </si>
  <si>
    <t>pramod gupta</t>
  </si>
  <si>
    <t>dhoon 5</t>
  </si>
  <si>
    <t>kathmandu to siraha</t>
  </si>
  <si>
    <t>GAUSALA (BHATKE KO POOL</t>
  </si>
  <si>
    <t>Pramodgupta201w@gmail.com</t>
  </si>
  <si>
    <t>Pramod@123</t>
  </si>
  <si>
    <t>BC6568389</t>
  </si>
  <si>
    <t>QZUXQZ</t>
  </si>
  <si>
    <t>8997701062350807609</t>
  </si>
  <si>
    <t>Dhoon_9469</t>
  </si>
  <si>
    <t>Dhoon@9469</t>
  </si>
  <si>
    <t>Rakesh sha</t>
  </si>
  <si>
    <t>janakpur</t>
  </si>
  <si>
    <t>Namaste Janakpur</t>
  </si>
  <si>
    <t>kathmandu to janakpur</t>
  </si>
  <si>
    <t>-</t>
  </si>
  <si>
    <t>JANAKPUR</t>
  </si>
  <si>
    <t>rsah17170@gmail.com</t>
  </si>
  <si>
    <t>Rakesh@123</t>
  </si>
  <si>
    <t>G21095041
G21094952</t>
  </si>
  <si>
    <t>RMPZXS
DCVCGX</t>
  </si>
  <si>
    <t>8997701012480376199</t>
  </si>
  <si>
    <t>Namaste_4217</t>
  </si>
  <si>
    <t>Namastejanakpur</t>
  </si>
  <si>
    <t>Namaste janakpur</t>
  </si>
  <si>
    <t>F83794664
G21095332</t>
  </si>
  <si>
    <t>PPIRDR
QESGYX</t>
  </si>
  <si>
    <t>8997701012480367909</t>
  </si>
  <si>
    <t>Namaste_4216</t>
  </si>
  <si>
    <t>ritik travels</t>
  </si>
  <si>
    <t>birgunj to janakpur</t>
  </si>
  <si>
    <t>BIRGUNJ BUSPARK</t>
  </si>
  <si>
    <t>G21095139
BC6567818</t>
  </si>
  <si>
    <t xml:space="preserve">
PIRXMB</t>
  </si>
  <si>
    <t>ncell</t>
  </si>
  <si>
    <t>Ritik_9215</t>
  </si>
  <si>
    <t>Ritik@9215</t>
  </si>
  <si>
    <t>Janakpur</t>
  </si>
  <si>
    <t>Ritik Travels</t>
  </si>
  <si>
    <t>Namaste_7453</t>
  </si>
  <si>
    <t>Namaste@7453</t>
  </si>
  <si>
    <t>bishal</t>
  </si>
  <si>
    <t>birgunj</t>
  </si>
  <si>
    <t>super barsha</t>
  </si>
  <si>
    <t>birgunj to kathmandu</t>
  </si>
  <si>
    <t>Bishal@123</t>
  </si>
  <si>
    <t>G21095620</t>
  </si>
  <si>
    <t>NJARFP</t>
  </si>
  <si>
    <t>8997701012480379169</t>
  </si>
  <si>
    <t>Superbarsha_5694</t>
  </si>
  <si>
    <t>Superbarsha@5694</t>
  </si>
  <si>
    <t>BF0915953
G21096016</t>
  </si>
  <si>
    <t>FGMRQQ
RZDNQS</t>
  </si>
  <si>
    <t>8997701012480379326</t>
  </si>
  <si>
    <t>Superbarsha_5692</t>
  </si>
  <si>
    <t>Superbarsha@5692</t>
  </si>
  <si>
    <t>updaypur</t>
  </si>
  <si>
    <t>9803577260
9842845483</t>
  </si>
  <si>
    <t>kathmandu to udaypur</t>
  </si>
  <si>
    <t>Kamal@123</t>
  </si>
  <si>
    <t>Sagarmatha_7023</t>
  </si>
  <si>
    <t>dinesh mandal</t>
  </si>
  <si>
    <t>G21095903</t>
  </si>
  <si>
    <t>RDIMDZ</t>
  </si>
  <si>
    <t>Bullet_5431</t>
  </si>
  <si>
    <t>Bullet@5431</t>
  </si>
  <si>
    <t>KATHMANDU TO JANAKpur</t>
  </si>
  <si>
    <t>BC0833458
BC1116121</t>
  </si>
  <si>
    <t>VDXGEN
DXKDFA</t>
  </si>
  <si>
    <t>8997701012479876589</t>
  </si>
  <si>
    <t>Namastejanakpur_0343</t>
  </si>
  <si>
    <t>rakesh mahato</t>
  </si>
  <si>
    <t>rajbiraj</t>
  </si>
  <si>
    <t>sita air bus</t>
  </si>
  <si>
    <t>kathmandu to rajbiraj</t>
  </si>
  <si>
    <t>G21094984
G21095656</t>
  </si>
  <si>
    <t>8997701012480363973</t>
  </si>
  <si>
    <t>Sitaac_3401</t>
  </si>
  <si>
    <t>Sitaac@3401</t>
  </si>
  <si>
    <t>rm207334@gmail.com</t>
  </si>
  <si>
    <t>G21095980
G21095107</t>
  </si>
  <si>
    <t>8997701012480363932</t>
  </si>
  <si>
    <t>Sitaac_3402</t>
  </si>
  <si>
    <t>Sitaac@3402</t>
  </si>
  <si>
    <t>ranjit sha</t>
  </si>
  <si>
    <t>siraha</t>
  </si>
  <si>
    <t>siraha anmol</t>
  </si>
  <si>
    <t>sah947321@gmail.com</t>
  </si>
  <si>
    <t>Ranjit@123</t>
  </si>
  <si>
    <t>BC1116097
BC1116380</t>
  </si>
  <si>
    <t>RMIMRH
VGRVYW</t>
  </si>
  <si>
    <t>8997701012482444516</t>
  </si>
  <si>
    <t>Sirahaanmol_3540</t>
  </si>
  <si>
    <t>Anmol@3540</t>
  </si>
  <si>
    <t>BE7559796
BC1116207</t>
  </si>
  <si>
    <t>XXFZRW
PWGRXX</t>
  </si>
  <si>
    <t>8997701012480363551</t>
  </si>
  <si>
    <t>Sirahaanmol_3539</t>
  </si>
  <si>
    <t>Anmol@3539</t>
  </si>
  <si>
    <t>manoj kc</t>
  </si>
  <si>
    <t>new angel vip sofa</t>
  </si>
  <si>
    <t>JAGATI</t>
  </si>
  <si>
    <t>Manoj@123</t>
  </si>
  <si>
    <t>G21094771</t>
  </si>
  <si>
    <t>CXKBBI</t>
  </si>
  <si>
    <t>Newangel_2689</t>
  </si>
  <si>
    <t>Newangel@2689</t>
  </si>
  <si>
    <t>G21095178</t>
  </si>
  <si>
    <t>8997701012479879039</t>
  </si>
  <si>
    <t>Newangel_2690</t>
  </si>
  <si>
    <t>Newangel@2690</t>
  </si>
  <si>
    <t>jagarnath sha</t>
  </si>
  <si>
    <t>shah yatri air bus</t>
  </si>
  <si>
    <t>BANEPA</t>
  </si>
  <si>
    <t>Jagarnath@123</t>
  </si>
  <si>
    <t>BC0833436
BC1116289
BC3730383</t>
  </si>
  <si>
    <t>RBWZKM
PYRTKP
QJRIQO</t>
  </si>
  <si>
    <t>8997701012480367792</t>
  </si>
  <si>
    <t>Shahyatri_1783</t>
  </si>
  <si>
    <t>Shahyatri@1783</t>
  </si>
  <si>
    <t>sahilshahbrj@gmail.com</t>
  </si>
  <si>
    <t>tower</t>
  </si>
  <si>
    <t>BC1116541
BC1116388
BC1116252</t>
  </si>
  <si>
    <t>UYOQEZ
QBRSCL
NHMQAL</t>
  </si>
  <si>
    <t>8997701012480365168</t>
  </si>
  <si>
    <t>Shahyatri_1784</t>
  </si>
  <si>
    <t>Shahyatri@1784</t>
  </si>
  <si>
    <t>mohit bhattarai</t>
  </si>
  <si>
    <t>butwal</t>
  </si>
  <si>
    <t>mohit metro</t>
  </si>
  <si>
    <t>kathmandu to bhaiawa</t>
  </si>
  <si>
    <t>8997701012480366737</t>
  </si>
  <si>
    <t>Mohit_4529</t>
  </si>
  <si>
    <t>Mohit@4529</t>
  </si>
  <si>
    <t>Mohit_4530</t>
  </si>
  <si>
    <t>dorna bahadur basnet</t>
  </si>
  <si>
    <t>greater nepal</t>
  </si>
  <si>
    <t>8997701012479917896</t>
  </si>
  <si>
    <t>Greaternepal_1765</t>
  </si>
  <si>
    <t>ashok baij</t>
  </si>
  <si>
    <t>mahendranagar</t>
  </si>
  <si>
    <t>namaste shuklaphanta</t>
  </si>
  <si>
    <t>kathmandu to mahendra nagar</t>
  </si>
  <si>
    <t>Ashok@123</t>
  </si>
  <si>
    <t>F83794532
F83794541</t>
  </si>
  <si>
    <t>XTQAOL
DGAJJR</t>
  </si>
  <si>
    <t>8997701062350807427</t>
  </si>
  <si>
    <t>Namaste_shuklaphanta_1337</t>
  </si>
  <si>
    <t>chandra yadav</t>
  </si>
  <si>
    <t>golden angel</t>
  </si>
  <si>
    <t>chandra@123</t>
  </si>
  <si>
    <t>BC4116850
BC4242637</t>
  </si>
  <si>
    <t>KFOVRO
MTBBFG</t>
  </si>
  <si>
    <t>8997701012480366828</t>
  </si>
  <si>
    <t>Goldenangel_3313</t>
  </si>
  <si>
    <t>ychandu2020@gmail.com</t>
  </si>
  <si>
    <t>Chandra@123</t>
  </si>
  <si>
    <t>BC1116204
BC1116163</t>
  </si>
  <si>
    <t>NLKIZX
AYSUKQ</t>
  </si>
  <si>
    <t>8997701012480367644</t>
  </si>
  <si>
    <t>Goldenangel_3314</t>
  </si>
  <si>
    <t>sunil yadav</t>
  </si>
  <si>
    <t>986-0179694</t>
  </si>
  <si>
    <t>new shiv shakti</t>
  </si>
  <si>
    <t>Sunil@123</t>
  </si>
  <si>
    <t>BC1116290
BC4242573</t>
  </si>
  <si>
    <t>ZKGWQT
WGZZUO</t>
  </si>
  <si>
    <t>8997701012480379292</t>
  </si>
  <si>
    <t>Newshivshakti_3538</t>
  </si>
  <si>
    <t>sunil225yadav@gmail.com</t>
  </si>
  <si>
    <t>BC1116466
BC1116328</t>
  </si>
  <si>
    <t>GFOIPR
KMBAGA</t>
  </si>
  <si>
    <t>8997701012482444896</t>
  </si>
  <si>
    <t>Newshivshakti_3537</t>
  </si>
  <si>
    <t>G21095583</t>
  </si>
  <si>
    <t>LUWOGP</t>
  </si>
  <si>
    <t>8997701012482775158</t>
  </si>
  <si>
    <t>Bullet_5858</t>
  </si>
  <si>
    <t>bimlesh singh</t>
  </si>
  <si>
    <t>star air bus</t>
  </si>
  <si>
    <t>Bimlesh@123</t>
  </si>
  <si>
    <t>BC1116312</t>
  </si>
  <si>
    <t>TWBHXW</t>
  </si>
  <si>
    <t>8997701012480376124</t>
  </si>
  <si>
    <t>expired</t>
  </si>
  <si>
    <t>Star_2557</t>
  </si>
  <si>
    <t>Star@2557</t>
  </si>
  <si>
    <t>G21095500
G21095346</t>
  </si>
  <si>
    <t>BEZWSF
PWLUKD</t>
  </si>
  <si>
    <t>8997701012480363924</t>
  </si>
  <si>
    <t>Star_2558</t>
  </si>
  <si>
    <t>Star@2558</t>
  </si>
  <si>
    <t>rakesh sha</t>
  </si>
  <si>
    <t>birat air bus</t>
  </si>
  <si>
    <t>G21095086
G21095324</t>
  </si>
  <si>
    <t>QYUYAG
UJRJTH</t>
  </si>
  <si>
    <t>8997701032487084430</t>
  </si>
  <si>
    <t>Ritik_0156</t>
  </si>
  <si>
    <t>BG3738929
BG3738756
BG3738514</t>
  </si>
  <si>
    <t>CLCDHT
XBTHTD
GVCFPL</t>
  </si>
  <si>
    <t>8997701032487084570</t>
  </si>
  <si>
    <t>Ritik_0157</t>
  </si>
  <si>
    <t>bhuwan shrestha</t>
  </si>
  <si>
    <t>nuwakot</t>
  </si>
  <si>
    <t xml:space="preserve">kalika </t>
  </si>
  <si>
    <t>EV</t>
  </si>
  <si>
    <t>kathmandu to narayanghat</t>
  </si>
  <si>
    <t>BALAJU SAI PETROL PUMP</t>
  </si>
  <si>
    <t>Kalika_0226</t>
  </si>
  <si>
    <t xml:space="preserve">MD </t>
  </si>
  <si>
    <t>apple air bus</t>
  </si>
  <si>
    <t>Apple_3456</t>
  </si>
  <si>
    <t>981-1277053</t>
  </si>
  <si>
    <t>krishna shrestha</t>
  </si>
  <si>
    <t>lahure</t>
  </si>
  <si>
    <t>kathmandu to bhairawa</t>
  </si>
  <si>
    <t>Lahure_1925</t>
  </si>
  <si>
    <t>karan khatri</t>
  </si>
  <si>
    <t>salakpur</t>
  </si>
  <si>
    <t>one plus</t>
  </si>
  <si>
    <t>kathmandu to dharan</t>
  </si>
  <si>
    <t>Karan@123</t>
  </si>
  <si>
    <t>BC6568445
BE7559637</t>
  </si>
  <si>
    <t>LZWCXJ, QEPJSK</t>
  </si>
  <si>
    <t>9760837697
9712006500</t>
  </si>
  <si>
    <t>2026-08-15
2026-03-17</t>
  </si>
  <si>
    <t>Oneplus_3660</t>
  </si>
  <si>
    <t>Oneplus@3660</t>
  </si>
  <si>
    <t xml:space="preserve">khatrik660@gmail.com </t>
  </si>
  <si>
    <t>oneplus</t>
  </si>
  <si>
    <t>BE7559644
BE7559628</t>
  </si>
  <si>
    <t>CNDFRO
LXZJXM</t>
  </si>
  <si>
    <t>8997701032487084653</t>
  </si>
  <si>
    <t>Oneplus_3661</t>
  </si>
  <si>
    <t>oneplus@3661</t>
  </si>
  <si>
    <t>khatrik660@gmail.com</t>
  </si>
  <si>
    <t>ram prasad</t>
  </si>
  <si>
    <t>shiv parbati</t>
  </si>
  <si>
    <t>8997701012480363916</t>
  </si>
  <si>
    <t>Shivparbati_5629</t>
  </si>
  <si>
    <t>Shivparbati@5629</t>
  </si>
  <si>
    <t>980-8046889</t>
  </si>
  <si>
    <t>namaste janakpur</t>
  </si>
  <si>
    <t>KATHMANDU TO JANAKPUR</t>
  </si>
  <si>
    <t>sah17170@gmail.com</t>
  </si>
  <si>
    <t>BE7559683
BE7559669</t>
  </si>
  <si>
    <t>XBLLMH
ZKRXKT</t>
  </si>
  <si>
    <t>8997701012479879823</t>
  </si>
  <si>
    <t>Namastejanakpur_0344</t>
  </si>
  <si>
    <t>kishor dev baishya</t>
  </si>
  <si>
    <t>biratnagar</t>
  </si>
  <si>
    <t>Sahaj air bus</t>
  </si>
  <si>
    <t>kathmandu to biratnagar</t>
  </si>
  <si>
    <t>PEPSICOLA SANO THIMI</t>
  </si>
  <si>
    <t>Kishor@123</t>
  </si>
  <si>
    <t>G21096053</t>
  </si>
  <si>
    <t>UPIPPR</t>
  </si>
  <si>
    <t>8997701012480363478</t>
  </si>
  <si>
    <t>Sahaj_161</t>
  </si>
  <si>
    <t>Sahaj@161</t>
  </si>
  <si>
    <t>dig bijay rana</t>
  </si>
  <si>
    <t>kohalpur</t>
  </si>
  <si>
    <t>rudrakshya air bus</t>
  </si>
  <si>
    <t>Rudrakshya@123</t>
  </si>
  <si>
    <t>G21095739
G21095749</t>
  </si>
  <si>
    <t>QAPWHB
EVWZTH</t>
  </si>
  <si>
    <t>Rudraksha_4059</t>
  </si>
  <si>
    <t>Rudraksha@4059</t>
  </si>
  <si>
    <t>santosh rawal</t>
  </si>
  <si>
    <t>sakura air bus</t>
  </si>
  <si>
    <t>Santosh@123</t>
  </si>
  <si>
    <t>G21095473</t>
  </si>
  <si>
    <t>NIAWFM</t>
  </si>
  <si>
    <t>8997701062352331475</t>
  </si>
  <si>
    <t>Sakura_0135</t>
  </si>
  <si>
    <t>Sakuragreen5</t>
  </si>
  <si>
    <t>ganesh shrestha</t>
  </si>
  <si>
    <t>Nishan@123</t>
  </si>
  <si>
    <t>G21095404
G21095531</t>
  </si>
  <si>
    <t>CLVFOE
AYJGUG</t>
  </si>
  <si>
    <t>8997701012480363999</t>
  </si>
  <si>
    <t>3 MONTH</t>
  </si>
  <si>
    <t>Trishul_5708</t>
  </si>
  <si>
    <t>Trishul@5708</t>
  </si>
  <si>
    <t>prakash shrestha</t>
  </si>
  <si>
    <t>tourst bus</t>
  </si>
  <si>
    <t>reserve</t>
  </si>
  <si>
    <t>Prakash@123</t>
  </si>
  <si>
    <t>8997701012480376140</t>
  </si>
  <si>
    <t>Kalika_7767</t>
  </si>
  <si>
    <t>shree krishna acharya</t>
  </si>
  <si>
    <t>aarogya</t>
  </si>
  <si>
    <t>kathmandu to rasuwa</t>
  </si>
  <si>
    <t>A@rogy@123</t>
  </si>
  <si>
    <t>G21096004
G21095154</t>
  </si>
  <si>
    <t>KGQEXV
QHKLBG</t>
  </si>
  <si>
    <t>8997701032487084422</t>
  </si>
  <si>
    <t>Aarogya_9580</t>
  </si>
  <si>
    <t>Aarogya@9580</t>
  </si>
  <si>
    <t>G21095780
F83794691</t>
  </si>
  <si>
    <t>DPGJVI
DLGRMX</t>
  </si>
  <si>
    <t>8997701012482775265</t>
  </si>
  <si>
    <t>Aarogya_9465</t>
  </si>
  <si>
    <t>Aarogya@9465</t>
  </si>
  <si>
    <t>GOKUL PAKHRIN</t>
  </si>
  <si>
    <t>gokukpakhrin2021@gmail.com</t>
  </si>
  <si>
    <t>Gokul@123</t>
  </si>
  <si>
    <t>G21095339</t>
  </si>
  <si>
    <t>CNBAMD</t>
  </si>
  <si>
    <t>Aarogya_5206</t>
  </si>
  <si>
    <t>Aarogya@5206</t>
  </si>
  <si>
    <t>sasank bajgain</t>
  </si>
  <si>
    <t>australia</t>
  </si>
  <si>
    <t>sakura day bus</t>
  </si>
  <si>
    <t>birgunj to biratnagar</t>
  </si>
  <si>
    <t>sanjeevbajgain410@gmail.com</t>
  </si>
  <si>
    <t>@Sasank10</t>
  </si>
  <si>
    <t>G21095654
BE7559762</t>
  </si>
  <si>
    <t>OOILFP</t>
  </si>
  <si>
    <t>8997701062350807344</t>
  </si>
  <si>
    <t>Sakura_3377</t>
  </si>
  <si>
    <t>Sakura@3377</t>
  </si>
  <si>
    <t>BE7559869
F83794741</t>
  </si>
  <si>
    <t>TRZAYM</t>
  </si>
  <si>
    <t>8997701012481132187</t>
  </si>
  <si>
    <t>Sakura_0257</t>
  </si>
  <si>
    <t>Sakura@0257</t>
  </si>
  <si>
    <t>ASHISH BHANJA</t>
  </si>
  <si>
    <t>AMERICA</t>
  </si>
  <si>
    <t>SAMAY DELUXE</t>
  </si>
  <si>
    <t>BC1116513
BC1116139</t>
  </si>
  <si>
    <t>XPNAXO
NMRCWX</t>
  </si>
  <si>
    <t>6 ncell</t>
  </si>
  <si>
    <t>Sakura_2052</t>
  </si>
  <si>
    <t>BTC@1234</t>
  </si>
  <si>
    <t>G21095393
G21095508</t>
  </si>
  <si>
    <t>FFXLQT
XZTXVF</t>
  </si>
  <si>
    <t>8997701012481132351</t>
  </si>
  <si>
    <t>Sakura_v3</t>
  </si>
  <si>
    <t>Sakura@0265</t>
  </si>
  <si>
    <t>BC0833635
BB2481504</t>
  </si>
  <si>
    <t>LKUXVU
GWSRAH</t>
  </si>
  <si>
    <t>8997701012481132161</t>
  </si>
  <si>
    <t>Sakura_0555</t>
  </si>
  <si>
    <t>Sakura@0555</t>
  </si>
  <si>
    <t>G21095834</t>
  </si>
  <si>
    <t>GHCJUV</t>
  </si>
  <si>
    <t>8997701012480362314</t>
  </si>
  <si>
    <t>Bullet_5432</t>
  </si>
  <si>
    <t>Bulletac</t>
  </si>
  <si>
    <t>SAMAY DAY BUS</t>
  </si>
  <si>
    <t>BIRGUNJ TO BIRATNAGAR</t>
  </si>
  <si>
    <t>katelvanja20521@gmail.com</t>
  </si>
  <si>
    <t>Samaya4907$</t>
  </si>
  <si>
    <t>BB2481254
BC0569643</t>
  </si>
  <si>
    <t>VVBDKU
KLZTAM</t>
  </si>
  <si>
    <t>Samay_312</t>
  </si>
  <si>
    <t>sonam lama</t>
  </si>
  <si>
    <t>national air bus</t>
  </si>
  <si>
    <t>Sonam@7412</t>
  </si>
  <si>
    <t>G00533474
G00533445</t>
  </si>
  <si>
    <t>VLZGHP
OQVBNF</t>
  </si>
  <si>
    <t>National_2687</t>
  </si>
  <si>
    <t>National@2687</t>
  </si>
  <si>
    <t>jordenphuntsok@gmail.com</t>
  </si>
  <si>
    <t>Sonam@123</t>
  </si>
  <si>
    <t>G21095902
F83794674</t>
  </si>
  <si>
    <t>IRSXVV
DJPUMK</t>
  </si>
  <si>
    <t>8997701012480376181</t>
  </si>
  <si>
    <t>National_2688</t>
  </si>
  <si>
    <t>National@2688</t>
  </si>
  <si>
    <t>mithila air bus</t>
  </si>
  <si>
    <t>SWOYAMBHU</t>
  </si>
  <si>
    <t>BC6568462
BC6567720
BC6568110</t>
  </si>
  <si>
    <t>Mithila_3365</t>
  </si>
  <si>
    <t>Mithila@3365</t>
  </si>
  <si>
    <t>Megh raj tripathi</t>
  </si>
  <si>
    <t>koili travels</t>
  </si>
  <si>
    <t>kathmandu to pokhara</t>
  </si>
  <si>
    <t>8997701012479876936</t>
  </si>
  <si>
    <t>Koili_101</t>
  </si>
  <si>
    <t>dilu karki</t>
  </si>
  <si>
    <t>KATHMANDU</t>
  </si>
  <si>
    <t>ROCKET AIR BUS</t>
  </si>
  <si>
    <t>KATHMANDU TO KAKARVITTA</t>
  </si>
  <si>
    <t>Rocket@123</t>
  </si>
  <si>
    <t>G21095272
G21095311</t>
  </si>
  <si>
    <t>KPCPBL
EENYIB</t>
  </si>
  <si>
    <t>8997701012482859317</t>
  </si>
  <si>
    <t>Rocket_Airbus5652</t>
  </si>
  <si>
    <t>Rocket@5652</t>
  </si>
  <si>
    <t>8997701062352332812</t>
  </si>
  <si>
    <t>Rocket5653</t>
  </si>
  <si>
    <t>Rocket@5653</t>
  </si>
  <si>
    <t>8997701062852331897</t>
  </si>
  <si>
    <t>Rocket_7032</t>
  </si>
  <si>
    <t>Rocket@7032</t>
  </si>
  <si>
    <t>G21095389
G21095391</t>
  </si>
  <si>
    <t>UIKOWI
NGRUDZ</t>
  </si>
  <si>
    <t>8997701012479879161</t>
  </si>
  <si>
    <t>Rocket_7031</t>
  </si>
  <si>
    <t>Rocket@7031</t>
  </si>
  <si>
    <t>laxman bhattarai</t>
  </si>
  <si>
    <t>Laxman@123</t>
  </si>
  <si>
    <t>G21095813
G21095791</t>
  </si>
  <si>
    <t>VHZAEA
AVDPZX</t>
  </si>
  <si>
    <t>Sakura_136</t>
  </si>
  <si>
    <t>shyam</t>
  </si>
  <si>
    <t>Rudrakshya_4058</t>
  </si>
  <si>
    <t>Rudrakshya@4058</t>
  </si>
  <si>
    <t>niranjan shah</t>
  </si>
  <si>
    <t>Rudrakshya_4085</t>
  </si>
  <si>
    <t>Rudrakshya@4085</t>
  </si>
  <si>
    <t>basant shrestha</t>
  </si>
  <si>
    <t>Rudrakshya_4061</t>
  </si>
  <si>
    <t>Rudrakshya@4061</t>
  </si>
  <si>
    <t>mana prasad acharya</t>
  </si>
  <si>
    <t>Rudrakshya_4062</t>
  </si>
  <si>
    <t>Rudrakshya@4062</t>
  </si>
  <si>
    <t>Rudrakshya_4063</t>
  </si>
  <si>
    <t>Rudrakshya@4063</t>
  </si>
  <si>
    <t>rupesh kumar yadav</t>
  </si>
  <si>
    <t>golden dimond</t>
  </si>
  <si>
    <t>JORPATI SUNDARI JAL</t>
  </si>
  <si>
    <t>G21095734
G21095642</t>
  </si>
  <si>
    <t>XRLHAL
IWVCMS</t>
  </si>
  <si>
    <t>8997701012482882970</t>
  </si>
  <si>
    <t>Diamond_3129</t>
  </si>
  <si>
    <t>Diamond@3129</t>
  </si>
  <si>
    <t>Narayan giri</t>
  </si>
  <si>
    <t>advento nepal travels and tours</t>
  </si>
  <si>
    <t>POKHARA</t>
  </si>
  <si>
    <t>Narayan@123</t>
  </si>
  <si>
    <t>BE7559699
BE7559661</t>
  </si>
  <si>
    <t>OSLFWL
CQQAFD</t>
  </si>
  <si>
    <t>8997701012481135263</t>
  </si>
  <si>
    <t>Adventonepal_164</t>
  </si>
  <si>
    <t>Advento@164</t>
  </si>
  <si>
    <t>narayangiri137@gmail.com</t>
  </si>
  <si>
    <t>hari dai</t>
  </si>
  <si>
    <t>hetauda</t>
  </si>
  <si>
    <t>diamond air bus</t>
  </si>
  <si>
    <t>kathmandu to kakrvitta</t>
  </si>
  <si>
    <t>JORPATI GANESH TOWER</t>
  </si>
  <si>
    <t>8997701012480366646</t>
  </si>
  <si>
    <t>diamondair_5695</t>
  </si>
  <si>
    <t>golden diamond</t>
  </si>
  <si>
    <t>birgunj kathmandu</t>
  </si>
  <si>
    <t>G21095806
G21095754</t>
  </si>
  <si>
    <t>JZOGRT
ZEZNYP</t>
  </si>
  <si>
    <t>8997701012482882962</t>
  </si>
  <si>
    <t>Diamond_3130</t>
  </si>
  <si>
    <t>Diamond@3130</t>
  </si>
  <si>
    <t>md</t>
  </si>
  <si>
    <t>8997701062352177647</t>
  </si>
  <si>
    <t>Apple_3457</t>
  </si>
  <si>
    <t>Apple@3457</t>
  </si>
  <si>
    <t>8997701012480363957</t>
  </si>
  <si>
    <t>Shivparbati_5630</t>
  </si>
  <si>
    <t>Shivparbati@5630</t>
  </si>
  <si>
    <t>980-9651837</t>
  </si>
  <si>
    <t>Rajesh bhattarai</t>
  </si>
  <si>
    <t>prinsha air bus</t>
  </si>
  <si>
    <t>birgunj to kakarvitta</t>
  </si>
  <si>
    <t>prinsha@123</t>
  </si>
  <si>
    <t>BC4242776</t>
  </si>
  <si>
    <t>RYDLFG</t>
  </si>
  <si>
    <t>8997701012479879195</t>
  </si>
  <si>
    <t>Prinsha_685</t>
  </si>
  <si>
    <t>Prinsha@685</t>
  </si>
  <si>
    <t>Rajendra siwakoti</t>
  </si>
  <si>
    <t>jayan air bus</t>
  </si>
  <si>
    <t>G21095072
G21095202</t>
  </si>
  <si>
    <t>QGJZSL
QDMUDU</t>
  </si>
  <si>
    <t>8997701012481132344</t>
  </si>
  <si>
    <t>Jayan_3356</t>
  </si>
  <si>
    <t>Jayan@3356</t>
  </si>
  <si>
    <t>rajendra siwakoti</t>
  </si>
  <si>
    <t>rajendra@123</t>
  </si>
  <si>
    <t>8997701012481135248</t>
  </si>
  <si>
    <t>Jayan_3357</t>
  </si>
  <si>
    <t>Jayan@3357</t>
  </si>
  <si>
    <t>ramji</t>
  </si>
  <si>
    <t>jaljala air bus</t>
  </si>
  <si>
    <t>Ramji@123</t>
  </si>
  <si>
    <t>F83794574</t>
  </si>
  <si>
    <t>TTZSTA</t>
  </si>
  <si>
    <t>8997701012482661598</t>
  </si>
  <si>
    <t>Jaljala_2864</t>
  </si>
  <si>
    <t>google2864</t>
  </si>
  <si>
    <t>bhuwan dai</t>
  </si>
  <si>
    <t>Bhuwan@123</t>
  </si>
  <si>
    <t>G21095853</t>
  </si>
  <si>
    <t>IMCZXT</t>
  </si>
  <si>
    <t>Jaljala_2443</t>
  </si>
  <si>
    <t>Jaljala@2443</t>
  </si>
  <si>
    <t>Binod dai</t>
  </si>
  <si>
    <t>kathmandu to kakarvitta</t>
  </si>
  <si>
    <t>8997701012482661903</t>
  </si>
  <si>
    <t>Oneplus_3309</t>
  </si>
  <si>
    <t>Oneplus@3309</t>
  </si>
  <si>
    <t>Rajan dai</t>
  </si>
  <si>
    <t>kakarvitta</t>
  </si>
  <si>
    <t>mahalaxmi air bus</t>
  </si>
  <si>
    <t>kakrvitta to pokhara</t>
  </si>
  <si>
    <t>Rajesh@123</t>
  </si>
  <si>
    <t>G21095023
G21094795</t>
  </si>
  <si>
    <t>HYHZFW
PILSPC</t>
  </si>
  <si>
    <t>8997701012480379318</t>
  </si>
  <si>
    <t>Mahalaxmi_2841</t>
  </si>
  <si>
    <t>bal bahadur deuwa</t>
  </si>
  <si>
    <t>mahendra nagar</t>
  </si>
  <si>
    <t>kathmandu to mahendranagar</t>
  </si>
  <si>
    <t>Bal@1234</t>
  </si>
  <si>
    <t>89977010482882996</t>
  </si>
  <si>
    <t>Mahakali_1336</t>
  </si>
  <si>
    <t>9868555440
9848754240</t>
  </si>
  <si>
    <t>DIL BHADUR CHAUDARY</t>
  </si>
  <si>
    <t>SURKHET</t>
  </si>
  <si>
    <t>JET AIR BUS</t>
  </si>
  <si>
    <t>KTM TO SURKHET</t>
  </si>
  <si>
    <t>Dil@1234</t>
  </si>
  <si>
    <t>Jet_0776</t>
  </si>
  <si>
    <t>nirdosh parsai</t>
  </si>
  <si>
    <t>ktm</t>
  </si>
  <si>
    <t>harhar mahadev</t>
  </si>
  <si>
    <t>ktm to brj</t>
  </si>
  <si>
    <t>JORPATI CRICRET GROUND</t>
  </si>
  <si>
    <t>Mahadev@123</t>
  </si>
  <si>
    <t>G21095875
G21095861</t>
  </si>
  <si>
    <t>UVUXIB
VDAIHO</t>
  </si>
  <si>
    <t>Harhar_mahadev_2565</t>
  </si>
  <si>
    <t>G21096061
G21095662</t>
  </si>
  <si>
    <t>PKIMUG
KJIIKD</t>
  </si>
  <si>
    <t>8997701012481135230</t>
  </si>
  <si>
    <t>Harhar_mahadev_2564</t>
  </si>
  <si>
    <t>Harhar@mahadev</t>
  </si>
  <si>
    <t>ram sir</t>
  </si>
  <si>
    <t>maa durga</t>
  </si>
  <si>
    <t>kathmandu to rashuwa</t>
  </si>
  <si>
    <t>Ram@1234</t>
  </si>
  <si>
    <t>Maadurga_710</t>
  </si>
  <si>
    <t>padma raj khanal</t>
  </si>
  <si>
    <t>Rimal travels</t>
  </si>
  <si>
    <t>Padma123</t>
  </si>
  <si>
    <t>G21095259
G21095192</t>
  </si>
  <si>
    <t>UHEBAF
BKERRO</t>
  </si>
  <si>
    <t>Khanal_9563</t>
  </si>
  <si>
    <t>Ravi rimal</t>
  </si>
  <si>
    <t>Ravi@123</t>
  </si>
  <si>
    <t>Rimal_5621</t>
  </si>
  <si>
    <t>akendra</t>
  </si>
  <si>
    <t>surkhet</t>
  </si>
  <si>
    <t>kathmandu to surkhet</t>
  </si>
  <si>
    <t>Jet_0781</t>
  </si>
  <si>
    <t>Jet_0779</t>
  </si>
  <si>
    <t>Jet_0780</t>
  </si>
  <si>
    <t>bijay shah</t>
  </si>
  <si>
    <t>muskan</t>
  </si>
  <si>
    <t>Muskan_5702</t>
  </si>
  <si>
    <t>Muskan_5703</t>
  </si>
  <si>
    <t>bharat dai</t>
  </si>
  <si>
    <t>gaighat</t>
  </si>
  <si>
    <t>panchadhura</t>
  </si>
  <si>
    <t>kathmandu to gaighat</t>
  </si>
  <si>
    <t>Panchadhura_2510</t>
  </si>
  <si>
    <t>Panchadhura@2510</t>
  </si>
  <si>
    <t>raju bhattarai</t>
  </si>
  <si>
    <t>kesari air bus</t>
  </si>
  <si>
    <t>kathmandu to butwal</t>
  </si>
  <si>
    <t>Raju@123</t>
  </si>
  <si>
    <t>Kesari_6823</t>
  </si>
  <si>
    <t>Kesari_6824</t>
  </si>
  <si>
    <t>madhav pangeni</t>
  </si>
  <si>
    <t>Madhav@123</t>
  </si>
  <si>
    <t>Kesari_6825</t>
  </si>
  <si>
    <t>santosh shah</t>
  </si>
  <si>
    <t>Ritik_5337</t>
  </si>
  <si>
    <t>Rakesh shah</t>
  </si>
  <si>
    <t>BE7559632
BE7559879
BE7559877</t>
  </si>
  <si>
    <t>WVMVLU
GLFDKS
OMYCAY</t>
  </si>
  <si>
    <t>8997701012480379219</t>
  </si>
  <si>
    <t>Birat_3442</t>
  </si>
  <si>
    <t>birat@3442</t>
  </si>
  <si>
    <t>BC6568014
BE7559865
BE759702</t>
  </si>
  <si>
    <t>YSVJVY
HUMPIE
QDIOUL</t>
  </si>
  <si>
    <t>8997701012480989363</t>
  </si>
  <si>
    <t>Birat_3441</t>
  </si>
  <si>
    <t>birat@3441</t>
  </si>
  <si>
    <t>lila dai</t>
  </si>
  <si>
    <t>rakshak air bus</t>
  </si>
  <si>
    <t>8997701012480989215</t>
  </si>
  <si>
    <t>Rakshak_3137</t>
  </si>
  <si>
    <t>Rakshak@3137</t>
  </si>
  <si>
    <t>9760826041
9712011324</t>
  </si>
  <si>
    <t>Rakshak_3139</t>
  </si>
  <si>
    <t>Rakshak@3139</t>
  </si>
  <si>
    <t>surendra sitaula</t>
  </si>
  <si>
    <t>kathmandu to baglung</t>
  </si>
  <si>
    <t>G21095672
G21095760</t>
  </si>
  <si>
    <t>YDPKXK
BATEXX</t>
  </si>
  <si>
    <t>Bullet_5433</t>
  </si>
  <si>
    <t>Bullet@5433</t>
  </si>
  <si>
    <t>G21095827
G21095832</t>
  </si>
  <si>
    <t>UZSPGO
OIWDNE</t>
  </si>
  <si>
    <t>Bullet_5434</t>
  </si>
  <si>
    <t>upendra mani pokhrel</t>
  </si>
  <si>
    <t>sajilo air bus</t>
  </si>
  <si>
    <t>Sajilo@123</t>
  </si>
  <si>
    <t>899770103248708454</t>
  </si>
  <si>
    <t>Sajilo_607</t>
  </si>
  <si>
    <t>Sajilo@607</t>
  </si>
  <si>
    <t>Upendra mani pokhrel</t>
  </si>
  <si>
    <t>8997701012482859705</t>
  </si>
  <si>
    <t>Sajilo_608</t>
  </si>
  <si>
    <t>Sajilo@608</t>
  </si>
  <si>
    <t>kishor karki</t>
  </si>
  <si>
    <t>agni deluxe</t>
  </si>
  <si>
    <t>kathmandu to bhadrapur</t>
  </si>
  <si>
    <t>8997701012480989496</t>
  </si>
  <si>
    <t>Agni_5537</t>
  </si>
  <si>
    <t>Agni@5537</t>
  </si>
  <si>
    <t>babu kaji shrestha</t>
  </si>
  <si>
    <t>dhading</t>
  </si>
  <si>
    <t>gramin yatayat</t>
  </si>
  <si>
    <t xml:space="preserve">EV </t>
  </si>
  <si>
    <t>KALANKI</t>
  </si>
  <si>
    <t>Babu@123</t>
  </si>
  <si>
    <t>G21095001
F83794680</t>
  </si>
  <si>
    <t>8997701012480989470</t>
  </si>
  <si>
    <t>Gramin_6511</t>
  </si>
  <si>
    <t>aayush bogati</t>
  </si>
  <si>
    <t>jhapa</t>
  </si>
  <si>
    <t>simrik yatayat</t>
  </si>
  <si>
    <t>simrikyatayat04@gmail.com</t>
  </si>
  <si>
    <t>Aayush@4567</t>
  </si>
  <si>
    <t>BE7559707
BC3730386</t>
  </si>
  <si>
    <t>KNMCAA
SUNRPO</t>
  </si>
  <si>
    <t>8997701062352331913</t>
  </si>
  <si>
    <t>Simrik_7177</t>
  </si>
  <si>
    <t>Simrik@7177</t>
  </si>
  <si>
    <t>JORPATI</t>
  </si>
  <si>
    <t>Simrik_7176</t>
  </si>
  <si>
    <t>9760839188
9712011326</t>
  </si>
  <si>
    <t>2026-09-26
2026-04-12</t>
  </si>
  <si>
    <t>Simrik_9448_Bside</t>
  </si>
  <si>
    <t>Simrik@9448</t>
  </si>
  <si>
    <t>9760830442
9712011328</t>
  </si>
  <si>
    <t>2026-09-26
2026-04-11</t>
  </si>
  <si>
    <t>Simrik_9449_Bside</t>
  </si>
  <si>
    <t>Simrik@9449</t>
  </si>
  <si>
    <t>9760826039
9712011322</t>
  </si>
  <si>
    <t>2026-09-10
2026-04-11</t>
  </si>
  <si>
    <t>Simrik_9450_Bside</t>
  </si>
  <si>
    <t>Simrik@9450</t>
  </si>
  <si>
    <t>8997701012482661952</t>
  </si>
  <si>
    <t>9760839177
9712029947</t>
  </si>
  <si>
    <t>2026-08-25
2026-04-26</t>
  </si>
  <si>
    <t>Simrik_9451_Bside</t>
  </si>
  <si>
    <t>Simrik@9451</t>
  </si>
  <si>
    <t>9760826010
9712011320</t>
  </si>
  <si>
    <t>Simrik_9452_Bside</t>
  </si>
  <si>
    <t>Simrik@9452</t>
  </si>
  <si>
    <t>9760826044
9712011316</t>
  </si>
  <si>
    <t>2026-09-26
2026-04-21</t>
  </si>
  <si>
    <t>Simrik_9453_Bside</t>
  </si>
  <si>
    <t>Simrik@9453</t>
  </si>
  <si>
    <t>santosh bhatta</t>
  </si>
  <si>
    <t>mahakali yatayat</t>
  </si>
  <si>
    <t>8997701012482444466</t>
  </si>
  <si>
    <t>Mahakali_1330</t>
  </si>
  <si>
    <t>Mahakali@1330</t>
  </si>
  <si>
    <t>raju mishra</t>
  </si>
  <si>
    <t>binayak air bus</t>
  </si>
  <si>
    <t>8997701062352331566</t>
  </si>
  <si>
    <t>Binayak_2974</t>
  </si>
  <si>
    <t>Binayak@2974</t>
  </si>
  <si>
    <t>G21095112
G21095189</t>
  </si>
  <si>
    <t>UHBVWR
AZIITP</t>
  </si>
  <si>
    <t>8997701082207509877</t>
  </si>
  <si>
    <t>Binayak_2975</t>
  </si>
  <si>
    <t>Binayak@2975</t>
  </si>
  <si>
    <t>agni air bus</t>
  </si>
  <si>
    <t>8997701062350807476</t>
  </si>
  <si>
    <t>Agni_5538</t>
  </si>
  <si>
    <t>Agni@5538</t>
  </si>
  <si>
    <t>Rameshwor chaudhary</t>
  </si>
  <si>
    <t>malangwa</t>
  </si>
  <si>
    <t>baishnavi yatayat</t>
  </si>
  <si>
    <t>kathmandu to malangwa</t>
  </si>
  <si>
    <t>Rameshwor@123</t>
  </si>
  <si>
    <t>BE7559801
BE7559827</t>
  </si>
  <si>
    <t>RHJNXL
WRRKTX</t>
  </si>
  <si>
    <t>8997701012479917847</t>
  </si>
  <si>
    <t>Ev_2526</t>
  </si>
  <si>
    <t>manoj yadav</t>
  </si>
  <si>
    <t>shiv shakti</t>
  </si>
  <si>
    <t>JADIBUTI</t>
  </si>
  <si>
    <t>8997701012479879567</t>
  </si>
  <si>
    <t>9760835239
9703124906</t>
  </si>
  <si>
    <t>pashupati_456</t>
  </si>
  <si>
    <t>rajesh kumar adhikari</t>
  </si>
  <si>
    <t>kathmandu to illam</t>
  </si>
  <si>
    <t>BE7559667
BE7559755</t>
  </si>
  <si>
    <t>GMKRCC
JJOLCP</t>
  </si>
  <si>
    <t>8997701012480989488</t>
  </si>
  <si>
    <t>no remining resourses</t>
  </si>
  <si>
    <t>Mahalaxmi_2729</t>
  </si>
  <si>
    <t>darbar air bus</t>
  </si>
  <si>
    <t>8997701012481132377</t>
  </si>
  <si>
    <t>Darbar_0026</t>
  </si>
  <si>
    <t>Sonam lama</t>
  </si>
  <si>
    <t>manhu shree air bus</t>
  </si>
  <si>
    <t>kathmandu to bharathwa</t>
  </si>
  <si>
    <t>8997701012480365390</t>
  </si>
  <si>
    <t>Mithila_2514</t>
  </si>
  <si>
    <t>Mithila@2514</t>
  </si>
  <si>
    <t>Agni air bus</t>
  </si>
  <si>
    <t>8997701012480989520</t>
  </si>
  <si>
    <t>Agni_7109</t>
  </si>
  <si>
    <t>Agni@7109</t>
  </si>
  <si>
    <t>BE7559618
BE7559646</t>
  </si>
  <si>
    <t>XDSGKG
VMGJNH</t>
  </si>
  <si>
    <t>8997701012480376017</t>
  </si>
  <si>
    <t>Mahalaxmi_2730</t>
  </si>
  <si>
    <t>Mahalaxmi@2730</t>
  </si>
  <si>
    <t>Dhoon 5</t>
  </si>
  <si>
    <t>8997701012479876258</t>
  </si>
  <si>
    <t>Dhoon_9483</t>
  </si>
  <si>
    <t>8997701012480367818</t>
  </si>
  <si>
    <t>Jaljala_2523</t>
  </si>
  <si>
    <t>pushpa paneru</t>
  </si>
  <si>
    <t>985-1079287</t>
  </si>
  <si>
    <t>panas air bus</t>
  </si>
  <si>
    <t>8997701012480989264</t>
  </si>
  <si>
    <t>Panas_2996</t>
  </si>
  <si>
    <t>chandra tamang</t>
  </si>
  <si>
    <t>bhabishya deluxe</t>
  </si>
  <si>
    <t>4 ncell</t>
  </si>
  <si>
    <t>bhabishya_5552</t>
  </si>
  <si>
    <t>8997701012480989256</t>
  </si>
  <si>
    <t>panas_2995</t>
  </si>
  <si>
    <t>dipendra</t>
  </si>
  <si>
    <t>984-8112064</t>
  </si>
  <si>
    <t>kingfisher</t>
  </si>
  <si>
    <t>9887701012479876951</t>
  </si>
  <si>
    <t>ramesh shrestha</t>
  </si>
  <si>
    <t>dharan</t>
  </si>
  <si>
    <t>ambika deluxe</t>
  </si>
  <si>
    <t>dharan to narayanghat</t>
  </si>
  <si>
    <t>NARAYANGHAT</t>
  </si>
  <si>
    <t>Ambika@123</t>
  </si>
  <si>
    <t>F83794719</t>
  </si>
  <si>
    <t>BUVTQZ</t>
  </si>
  <si>
    <t>8997701012480989348</t>
  </si>
  <si>
    <t>Ambika_1192</t>
  </si>
  <si>
    <t>Ambika@1192</t>
  </si>
  <si>
    <t>jyoti bhattarai</t>
  </si>
  <si>
    <t>oneplus air bus</t>
  </si>
  <si>
    <t>dharan to pokhara</t>
  </si>
  <si>
    <t>BC6568472
BE7559884</t>
  </si>
  <si>
    <t>VUBJCE
AVJSQI</t>
  </si>
  <si>
    <t>8997701012482859291</t>
  </si>
  <si>
    <t>Oneplus_5883</t>
  </si>
  <si>
    <t>Oneplus@5883</t>
  </si>
  <si>
    <t>makardhij</t>
  </si>
  <si>
    <t>prime air bus</t>
  </si>
  <si>
    <t>8997701012480367826</t>
  </si>
  <si>
    <t>Prime_2580</t>
  </si>
  <si>
    <t>Prime@2580</t>
  </si>
  <si>
    <t>BE7559689</t>
  </si>
  <si>
    <t>AZECJF</t>
  </si>
  <si>
    <t>8997701012480376058</t>
  </si>
  <si>
    <t>Oneplus_5884</t>
  </si>
  <si>
    <t>Oneplus@5884</t>
  </si>
  <si>
    <t>Ramesh shrestha</t>
  </si>
  <si>
    <t>ambika ac</t>
  </si>
  <si>
    <t>F83794624</t>
  </si>
  <si>
    <t>LOGFCF</t>
  </si>
  <si>
    <t>8997701012480989322</t>
  </si>
  <si>
    <t>Ambika_1188</t>
  </si>
  <si>
    <t>Ambika@1188</t>
  </si>
  <si>
    <t>lil pun</t>
  </si>
  <si>
    <t>F83794733</t>
  </si>
  <si>
    <t>LOHSMI</t>
  </si>
  <si>
    <t>8997701062351323952</t>
  </si>
  <si>
    <t>Jaljala_2863</t>
  </si>
  <si>
    <t>Jaljala@2863</t>
  </si>
  <si>
    <t>976-5504577</t>
  </si>
  <si>
    <t>8997701012482444052</t>
  </si>
  <si>
    <t>Agni_7108</t>
  </si>
  <si>
    <t>Agni@7108</t>
  </si>
  <si>
    <t>sarita khadka</t>
  </si>
  <si>
    <t>udaypure gaighat yatayat</t>
  </si>
  <si>
    <t>ev</t>
  </si>
  <si>
    <t>CHABHIL</t>
  </si>
  <si>
    <t>Sarita@123</t>
  </si>
  <si>
    <t>Gaighat_0054</t>
  </si>
  <si>
    <t>BTC@123</t>
  </si>
  <si>
    <t>bhattarai sir</t>
  </si>
  <si>
    <t>mahalaxmi</t>
  </si>
  <si>
    <t>Mahalaxmi_2840</t>
  </si>
  <si>
    <t>manoj dai</t>
  </si>
  <si>
    <t>pashupati darshan</t>
  </si>
  <si>
    <t>8997701012482444128</t>
  </si>
  <si>
    <t>Pashupati_457</t>
  </si>
  <si>
    <t>krishna dai</t>
  </si>
  <si>
    <t>DHANUSA SAFARI</t>
  </si>
  <si>
    <t>KATHMANDU JANAKPUR</t>
  </si>
  <si>
    <t>mukesh.chaudhary98540@gmail.com</t>
  </si>
  <si>
    <t>Mukesh@123</t>
  </si>
  <si>
    <t>BF3361996
BF3362053
BF3361788</t>
  </si>
  <si>
    <t>IYQZYT
MBIHWE
TXHYGL</t>
  </si>
  <si>
    <t>8997701012480367842</t>
  </si>
  <si>
    <t>Safari_3837</t>
  </si>
  <si>
    <t>Safari3837</t>
  </si>
  <si>
    <t>sunil das</t>
  </si>
  <si>
    <t>ritik</t>
  </si>
  <si>
    <t>NARAYANGHAT TO BUTWAL</t>
  </si>
  <si>
    <t>Namaste2712</t>
  </si>
  <si>
    <t>Namaste@123</t>
  </si>
  <si>
    <t>suresh shah</t>
  </si>
  <si>
    <t>Shree maa laxmi</t>
  </si>
  <si>
    <t>8997701012482444144</t>
  </si>
  <si>
    <t>Shreemaalaxmi_9029</t>
  </si>
  <si>
    <t>shree maa laxmi</t>
  </si>
  <si>
    <t>kathmandu to manara</t>
  </si>
  <si>
    <t>8997701012482444011</t>
  </si>
  <si>
    <t>Shreemaalaxmi_3316</t>
  </si>
  <si>
    <t>Maalaxmi@3316</t>
  </si>
  <si>
    <t>manoj shapkota</t>
  </si>
  <si>
    <t>sindhuli</t>
  </si>
  <si>
    <t>chandani yatayat</t>
  </si>
  <si>
    <t>kathmandu to katari</t>
  </si>
  <si>
    <t>8997701012482444045</t>
  </si>
  <si>
    <t>Chandani_8438</t>
  </si>
  <si>
    <t>Chandani@8438</t>
  </si>
  <si>
    <t>8997701012482444029</t>
  </si>
  <si>
    <t>Shreemaalaxmi_9030</t>
  </si>
  <si>
    <t>Shreemaalaxmi@9030</t>
  </si>
  <si>
    <t>Suresh shah</t>
  </si>
  <si>
    <t>8997701012482444037</t>
  </si>
  <si>
    <t>Shreemaalaxmi_3315</t>
  </si>
  <si>
    <t>Maalaxmi@3315</t>
  </si>
  <si>
    <t>shivaram pudaisaini</t>
  </si>
  <si>
    <t>gauri sankar</t>
  </si>
  <si>
    <t>narayanghat to butwal</t>
  </si>
  <si>
    <t>8997701012480365051</t>
  </si>
  <si>
    <t>Ritik_2792</t>
  </si>
  <si>
    <t>Ritik@2792</t>
  </si>
  <si>
    <t>smart shuva laxmi air bus</t>
  </si>
  <si>
    <t>narayanghat to kakarvitta</t>
  </si>
  <si>
    <t>Viscabarca@123</t>
  </si>
  <si>
    <t>8997701012480366794</t>
  </si>
  <si>
    <t>Shuvalaxmi_0410</t>
  </si>
  <si>
    <t>saugat air bus</t>
  </si>
  <si>
    <t>8997701062352332820</t>
  </si>
  <si>
    <t>Bishow Sapkota</t>
  </si>
  <si>
    <t>sabitri air bus</t>
  </si>
  <si>
    <t>Bishow@123</t>
  </si>
  <si>
    <t>BC0833556</t>
  </si>
  <si>
    <t>MVGCRF</t>
  </si>
  <si>
    <t>Sabita_6589</t>
  </si>
  <si>
    <t>Bimlesh yadav</t>
  </si>
  <si>
    <t>maa gayatri</t>
  </si>
  <si>
    <t>8997701012482444888</t>
  </si>
  <si>
    <t>Maagayatri_8606</t>
  </si>
  <si>
    <t>kamal giri</t>
  </si>
  <si>
    <t>shiv ganga air bus</t>
  </si>
  <si>
    <t>Amaira@0000</t>
  </si>
  <si>
    <t>BF3361746
BF2883899</t>
  </si>
  <si>
    <t>WXZHAW
QKYSDP</t>
  </si>
  <si>
    <t>8997701012482444839</t>
  </si>
  <si>
    <t>Shivganga_8634</t>
  </si>
  <si>
    <t>Shivganga@8634</t>
  </si>
  <si>
    <t>shivganga air bus</t>
  </si>
  <si>
    <t>8997701012482444847</t>
  </si>
  <si>
    <t>Shivganga_8635</t>
  </si>
  <si>
    <t>Shivganga@8635</t>
  </si>
  <si>
    <t>Krishna dai</t>
  </si>
  <si>
    <t>Diamond air bus</t>
  </si>
  <si>
    <t>8997701012480367768</t>
  </si>
  <si>
    <t>Diamond_3836</t>
  </si>
  <si>
    <t>Diamondair3836</t>
  </si>
  <si>
    <t>rakesh shah</t>
  </si>
  <si>
    <t>janakpur to kakarvitta</t>
  </si>
  <si>
    <t>BF3362049
BF3361800
BF3361760</t>
  </si>
  <si>
    <t>BEVWGX
ZPVGIX
VOTWCJ</t>
  </si>
  <si>
    <t>Ritik_3808</t>
  </si>
  <si>
    <t>bijay dai</t>
  </si>
  <si>
    <t>super selfie</t>
  </si>
  <si>
    <t>janakpur to biratnagar</t>
  </si>
  <si>
    <t>Vijay@123</t>
  </si>
  <si>
    <t>BF3362020
BF3362052
BF3361753</t>
  </si>
  <si>
    <t>VJRQMN
DPSEEW
IFJBPC</t>
  </si>
  <si>
    <t>8997701012480989645</t>
  </si>
  <si>
    <t>Superselfie_3809</t>
  </si>
  <si>
    <t>kamal dai</t>
  </si>
  <si>
    <t>namaste air bus</t>
  </si>
  <si>
    <t>8997701012480365150</t>
  </si>
  <si>
    <t>Namaste_0946</t>
  </si>
  <si>
    <t>brij kishor j</t>
  </si>
  <si>
    <t>minakshi air bus</t>
  </si>
  <si>
    <t>Minakshi@123</t>
  </si>
  <si>
    <t>BF2883675
BF3362042
BF3362041</t>
  </si>
  <si>
    <t>JIACRS
ATYNHY
GJVZBH</t>
  </si>
  <si>
    <t>Minakshi_9579</t>
  </si>
  <si>
    <t>Minakshi@9579</t>
  </si>
  <si>
    <t>BF2883946
BF2883666</t>
  </si>
  <si>
    <t>GJWCDJ
EAKCWU</t>
  </si>
  <si>
    <t>Namaste_0947</t>
  </si>
  <si>
    <t>muskan dai</t>
  </si>
  <si>
    <t>truck</t>
  </si>
  <si>
    <t>Muskan_8584</t>
  </si>
  <si>
    <t>Muskan@8584</t>
  </si>
  <si>
    <t>brij kishor ji</t>
  </si>
  <si>
    <t>minakhi air bus</t>
  </si>
  <si>
    <t>BF2883682
BF3361628
BF2883889</t>
  </si>
  <si>
    <t>WRLXEZ
CRAFQR
CFDVFY</t>
  </si>
  <si>
    <t>8997701012482661945</t>
  </si>
  <si>
    <t>Minakshi_9580</t>
  </si>
  <si>
    <t>Minakshi@9580</t>
  </si>
  <si>
    <t>Rajan rokka</t>
  </si>
  <si>
    <t>golden google</t>
  </si>
  <si>
    <t>8997701012482444417</t>
  </si>
  <si>
    <t>Goldengoogle_3455</t>
  </si>
  <si>
    <t>Google@3455</t>
  </si>
  <si>
    <t>Jyoti@123</t>
  </si>
  <si>
    <t>BC6567640
BF2883799</t>
  </si>
  <si>
    <t>PPMZQX
GJTWZV</t>
  </si>
  <si>
    <t>8997701012480367883</t>
  </si>
  <si>
    <t>9760843264
9810253313</t>
  </si>
  <si>
    <t>Oneplus_0399</t>
  </si>
  <si>
    <t>Oneplus@0399</t>
  </si>
  <si>
    <t>BF2883978
BD1804025</t>
  </si>
  <si>
    <t>8997701012482661937</t>
  </si>
  <si>
    <t>Oneplus_0400</t>
  </si>
  <si>
    <t>Oneplus@0400</t>
  </si>
  <si>
    <t>kumar bista</t>
  </si>
  <si>
    <t>king air bus</t>
  </si>
  <si>
    <t>JORPATI BAGMATI PETROLPUMP</t>
  </si>
  <si>
    <t>Kumar@123</t>
  </si>
  <si>
    <t>G21095077
G21095236</t>
  </si>
  <si>
    <t>JQDYEI
RIUODU</t>
  </si>
  <si>
    <t>8997701012480365101</t>
  </si>
  <si>
    <t>King_0456</t>
  </si>
  <si>
    <t>King0456</t>
  </si>
  <si>
    <t>nar bahadur gurung</t>
  </si>
  <si>
    <t>raftar air bus</t>
  </si>
  <si>
    <t>nartamang75@gmail.com</t>
  </si>
  <si>
    <t>Nep@l123</t>
  </si>
  <si>
    <t>BF3362044
BF3362055
BF3362045</t>
  </si>
  <si>
    <t>HUSHGH
FAPNDV
RGIKRP</t>
  </si>
  <si>
    <t>Raftar_0147</t>
  </si>
  <si>
    <t>Raftar0147</t>
  </si>
  <si>
    <t>maikal timalsina</t>
  </si>
  <si>
    <t>tamang</t>
  </si>
  <si>
    <t>maikaltamang869@gmail.com</t>
  </si>
  <si>
    <t>Maikal@123</t>
  </si>
  <si>
    <t>BC0833602</t>
  </si>
  <si>
    <t>TSCFLC</t>
  </si>
  <si>
    <t>Tamang_9532</t>
  </si>
  <si>
    <t>ashish shrestha</t>
  </si>
  <si>
    <t>kalika</t>
  </si>
  <si>
    <t>#Kalika3788</t>
  </si>
  <si>
    <t>Kalika_8235</t>
  </si>
  <si>
    <t>Ashish@123</t>
  </si>
  <si>
    <t>Kalika_9055</t>
  </si>
  <si>
    <t>kalika_5211</t>
  </si>
  <si>
    <t>Bikram dai</t>
  </si>
  <si>
    <t>surunga</t>
  </si>
  <si>
    <t>bihani air bus</t>
  </si>
  <si>
    <t>kakarvitta to pokhara</t>
  </si>
  <si>
    <t>yb88620@gmail.com</t>
  </si>
  <si>
    <t>Dss@7878</t>
  </si>
  <si>
    <t>BC3730319
BC3730190</t>
  </si>
  <si>
    <t>XOGFWC
ILTZRC</t>
  </si>
  <si>
    <t>8997701012482444573</t>
  </si>
  <si>
    <t>Bihani_903</t>
  </si>
  <si>
    <t>Bihani@903</t>
  </si>
  <si>
    <t>bikram dai</t>
  </si>
  <si>
    <t>BC6567830
BC6568033</t>
  </si>
  <si>
    <t>VBNRJY
RTSMCB</t>
  </si>
  <si>
    <t>8997701012482444565</t>
  </si>
  <si>
    <t>Bihani_902</t>
  </si>
  <si>
    <t>Bihani@902</t>
  </si>
  <si>
    <t>kathmandu to trishuli</t>
  </si>
  <si>
    <t>sbhuwan20@gmail.com</t>
  </si>
  <si>
    <t>BC6567681
BC6568336</t>
  </si>
  <si>
    <t>CCDNEE
XAOAHC</t>
  </si>
  <si>
    <t>8997701032487084406</t>
  </si>
  <si>
    <t>Kalika_9151</t>
  </si>
  <si>
    <t>Kalika@9151</t>
  </si>
  <si>
    <t>BD1804072
BD1803908
BD1804059</t>
  </si>
  <si>
    <t>FQKASI
ENRXNH
QLHPHD</t>
  </si>
  <si>
    <t>8997701012482859283</t>
  </si>
  <si>
    <t>Star_0200</t>
  </si>
  <si>
    <t>Star0200</t>
  </si>
  <si>
    <t>Star air bus</t>
  </si>
  <si>
    <t>BC1116571
BD1804058
BD1804116</t>
  </si>
  <si>
    <t>KFIZPR
GZRMQV
VPXEPQ</t>
  </si>
  <si>
    <t>8997701012482775216</t>
  </si>
  <si>
    <t>Star_0199</t>
  </si>
  <si>
    <t>Star@0199</t>
  </si>
  <si>
    <t>bikram ghimire</t>
  </si>
  <si>
    <t>bikram ev</t>
  </si>
  <si>
    <t>kamal kathet</t>
  </si>
  <si>
    <t>BE7559620
BF1623036</t>
  </si>
  <si>
    <t xml:space="preserve">
YLCNVP</t>
  </si>
  <si>
    <t>Namaste_0352</t>
  </si>
  <si>
    <t>BE7559719</t>
  </si>
  <si>
    <t>Namaste_0353</t>
  </si>
  <si>
    <t>kalika air bus</t>
  </si>
  <si>
    <t>ktm to rusuwagadi</t>
  </si>
  <si>
    <t>BA8546221</t>
  </si>
  <si>
    <t>OWWMCF</t>
  </si>
  <si>
    <t>8997701012482882988</t>
  </si>
  <si>
    <t>Kalika_8565</t>
  </si>
  <si>
    <t>Kalika8565</t>
  </si>
  <si>
    <t>ganesh chaudhary</t>
  </si>
  <si>
    <t>prem ratan air bus</t>
  </si>
  <si>
    <t>mahatog89@gmail.com</t>
  </si>
  <si>
    <t>Gautam@123</t>
  </si>
  <si>
    <t>Premratan_9285</t>
  </si>
  <si>
    <t>Premratan@9285</t>
  </si>
  <si>
    <t>BD1804086
BD1804017</t>
  </si>
  <si>
    <t>EHEPUX
ULZZBO</t>
  </si>
  <si>
    <t>Premratan_9284</t>
  </si>
  <si>
    <t>Premratan@9284</t>
  </si>
  <si>
    <t>suman panta</t>
  </si>
  <si>
    <t>prince</t>
  </si>
  <si>
    <t>sumanpanta753744@gmail.com</t>
  </si>
  <si>
    <t>Suman@123</t>
  </si>
  <si>
    <t>BD1804051</t>
  </si>
  <si>
    <t>VQGSCO</t>
  </si>
  <si>
    <t>8997701012482415680</t>
  </si>
  <si>
    <t>Rocket_9165</t>
  </si>
  <si>
    <t>Rocket9165</t>
  </si>
  <si>
    <t>murari thapa</t>
  </si>
  <si>
    <t>sadashiv</t>
  </si>
  <si>
    <t>thapamurari21@gmail.com</t>
  </si>
  <si>
    <t>Murari@123</t>
  </si>
  <si>
    <t>BG0434871</t>
  </si>
  <si>
    <t>LQFSBX</t>
  </si>
  <si>
    <t>8997701012482415698</t>
  </si>
  <si>
    <t>Sadashiv_9091</t>
  </si>
  <si>
    <t>Sadashiv9091</t>
  </si>
  <si>
    <t>BC0569778</t>
  </si>
  <si>
    <t>ETNRLE</t>
  </si>
  <si>
    <t>8997701012482415706</t>
  </si>
  <si>
    <t>sadashiv_9075</t>
  </si>
  <si>
    <t>Sadashiv9075</t>
  </si>
  <si>
    <t>santosh pant</t>
  </si>
  <si>
    <t>BG0434964</t>
  </si>
  <si>
    <t>JYMHBZ</t>
  </si>
  <si>
    <t>8997701012480989967</t>
  </si>
  <si>
    <t>Prince_9079</t>
  </si>
  <si>
    <t>Prince9079</t>
  </si>
  <si>
    <t>khadkeshwor air bus</t>
  </si>
  <si>
    <t>Bolbam@123</t>
  </si>
  <si>
    <t>BB2481223
BC0833646</t>
  </si>
  <si>
    <t>WAQOBJ
IRRBYI</t>
  </si>
  <si>
    <t>8997701062350807138</t>
  </si>
  <si>
    <t>Bolbam_3297</t>
  </si>
  <si>
    <t>Bolbam@3297</t>
  </si>
  <si>
    <t>BC1116189
BC0570047</t>
  </si>
  <si>
    <t>FHRFAL
JWBLQF</t>
  </si>
  <si>
    <t>8997701062350807823</t>
  </si>
  <si>
    <t>Bolbam_3298</t>
  </si>
  <si>
    <t>Bolbam@3298</t>
  </si>
  <si>
    <t>saheb sah kaka</t>
  </si>
  <si>
    <t>kaka</t>
  </si>
  <si>
    <t>kathmandu to gaur</t>
  </si>
  <si>
    <t>BALKHU</t>
  </si>
  <si>
    <t>Saheb@123</t>
  </si>
  <si>
    <t>BC6567892
BC6567811</t>
  </si>
  <si>
    <t>8997701032487084588</t>
  </si>
  <si>
    <t>ev_427 (kaka)</t>
  </si>
  <si>
    <t>ritesh</t>
  </si>
  <si>
    <t>biratnagar to sindhuli to kathmandu</t>
  </si>
  <si>
    <t>BG0435169
BG0435189</t>
  </si>
  <si>
    <t>XOYSAI
ZBMYZU</t>
  </si>
  <si>
    <t>8997701032487084604</t>
  </si>
  <si>
    <t>Oneplus_0780</t>
  </si>
  <si>
    <t>Oneplus@0780</t>
  </si>
  <si>
    <t>Chitra bdr neupane</t>
  </si>
  <si>
    <t>Shristi ac hiece</t>
  </si>
  <si>
    <t>hiece</t>
  </si>
  <si>
    <t>kathmandu sindhuli jhapa</t>
  </si>
  <si>
    <t>newbiplov11@gmail.com</t>
  </si>
  <si>
    <t>Biplov@123</t>
  </si>
  <si>
    <t>BG0435238</t>
  </si>
  <si>
    <t>IKEISR</t>
  </si>
  <si>
    <t>8997701012481926992</t>
  </si>
  <si>
    <t>Shristi_7271</t>
  </si>
  <si>
    <t>kathmandu to sindhuli to biratnagar</t>
  </si>
  <si>
    <t>8997701032487084596</t>
  </si>
  <si>
    <t>Oneplus_0781</t>
  </si>
  <si>
    <t>Oneplus@0781</t>
  </si>
  <si>
    <t>lalbabu shingh</t>
  </si>
  <si>
    <t>986-6459733</t>
  </si>
  <si>
    <t>Mahotari tiger</t>
  </si>
  <si>
    <t>kathmandu to mahotari</t>
  </si>
  <si>
    <t>mahotaritiger9456@gmail.com</t>
  </si>
  <si>
    <t>Tiger@123</t>
  </si>
  <si>
    <t>9760837648
9703124904</t>
  </si>
  <si>
    <t>2026-05-12
2026-02-25</t>
  </si>
  <si>
    <t>Mahotari_9456</t>
  </si>
  <si>
    <t>Mahotari@9456</t>
  </si>
  <si>
    <t>Kiran khadka</t>
  </si>
  <si>
    <t>sangrila air bus</t>
  </si>
  <si>
    <t>kathmandu to barathwa</t>
  </si>
  <si>
    <t>8997701012482859325</t>
  </si>
  <si>
    <t>Sangrila_2546</t>
  </si>
  <si>
    <t>ram gubhaju</t>
  </si>
  <si>
    <t>Hamsafar air bus</t>
  </si>
  <si>
    <t>ramgubhaju2038@gmail.com</t>
  </si>
  <si>
    <t>BG0435265
BG0435404
BG0434862</t>
  </si>
  <si>
    <t>XGBIEJ
BLESEJ
GIPSFH</t>
  </si>
  <si>
    <t>8997701012482859218</t>
  </si>
  <si>
    <t>1 year</t>
  </si>
  <si>
    <t>Hamsafar_4022</t>
  </si>
  <si>
    <t>Hamsafar4022</t>
  </si>
  <si>
    <t>hamsafar air bus</t>
  </si>
  <si>
    <t>BG0434948
BG0435415
BG0434918</t>
  </si>
  <si>
    <t>SHMFYV
ZSBYIY
BRXNCH</t>
  </si>
  <si>
    <t>8997701012482859200</t>
  </si>
  <si>
    <t>Hamsafar_4021</t>
  </si>
  <si>
    <t>Hamsafar4021</t>
  </si>
  <si>
    <t>binod koirala</t>
  </si>
  <si>
    <t>8997701012482859101</t>
  </si>
  <si>
    <t>Oneplus_3308</t>
  </si>
  <si>
    <t>ravi rimal</t>
  </si>
  <si>
    <t>rimal travels</t>
  </si>
  <si>
    <t>BG0473545
BG0473436</t>
  </si>
  <si>
    <t>RWFQFQ
CYYPQJ</t>
  </si>
  <si>
    <t>8997701012482859465</t>
  </si>
  <si>
    <t>Rimal_9589</t>
  </si>
  <si>
    <t>Rimal@9589</t>
  </si>
  <si>
    <t>sunil singh</t>
  </si>
  <si>
    <t>Arjunrath</t>
  </si>
  <si>
    <t>ramniwash</t>
  </si>
  <si>
    <t>yadeepak2000@gmail.com</t>
  </si>
  <si>
    <t>Arjunrath@123</t>
  </si>
  <si>
    <t>BG0473674
BG0473555</t>
  </si>
  <si>
    <t>IHAYTJ
FQMTSX</t>
  </si>
  <si>
    <t>8997701012482859556</t>
  </si>
  <si>
    <t>Arjunrath_9645</t>
  </si>
  <si>
    <t>Arjunrath@9645</t>
  </si>
  <si>
    <t>arjunrath</t>
  </si>
  <si>
    <t>BG0473524
BG0473585</t>
  </si>
  <si>
    <t>GWAIQW
VXGBCP</t>
  </si>
  <si>
    <t>8997701012482859564</t>
  </si>
  <si>
    <t>Arjunrath_9646</t>
  </si>
  <si>
    <t>Arjunrath@9646</t>
  </si>
  <si>
    <t>Hem magar</t>
  </si>
  <si>
    <t>shubh yatra</t>
  </si>
  <si>
    <t>kathmandu to sindhuli to katari</t>
  </si>
  <si>
    <t>8997701012482859572</t>
  </si>
  <si>
    <t>Shubhyatra_8741</t>
  </si>
  <si>
    <t>lalbabu singh</t>
  </si>
  <si>
    <t>mahotari tiger</t>
  </si>
  <si>
    <t>8997701032487084638</t>
  </si>
  <si>
    <t>9760845214
9702999489</t>
  </si>
  <si>
    <t>Mahotari_9457</t>
  </si>
  <si>
    <t>Mahotari@9457</t>
  </si>
  <si>
    <t>akash gurung</t>
  </si>
  <si>
    <t>9855077210
9813247782</t>
  </si>
  <si>
    <t>akash travels</t>
  </si>
  <si>
    <t>kathmandu to chitwan</t>
  </si>
  <si>
    <t>8997701012482772924</t>
  </si>
  <si>
    <t>Akashtravels_7589</t>
  </si>
  <si>
    <t>8997701012482512783</t>
  </si>
  <si>
    <t>Sangrila_2547</t>
  </si>
  <si>
    <t>Sangrila2547</t>
  </si>
  <si>
    <t>rajesh adhikari</t>
  </si>
  <si>
    <t>Mahal air bus</t>
  </si>
  <si>
    <t>8997701012482859804</t>
  </si>
  <si>
    <t>Mahal_9403</t>
  </si>
  <si>
    <t>Mahal@9403</t>
  </si>
  <si>
    <t>bishal podar</t>
  </si>
  <si>
    <t>sapana air bus</t>
  </si>
  <si>
    <t>podar.bishal420@gmail.com</t>
  </si>
  <si>
    <t>BG0435531
BG0435689
BG0435155</t>
  </si>
  <si>
    <t>YTULLS
YETGTP
ZXDDZU</t>
  </si>
  <si>
    <t>8997701012482859614</t>
  </si>
  <si>
    <t>Sapana_1105</t>
  </si>
  <si>
    <t>Sapana@1105</t>
  </si>
  <si>
    <t>sapna air bus</t>
  </si>
  <si>
    <t>BG0435749
BG0435280
BG0435614</t>
  </si>
  <si>
    <t>DTIYPT
EKMXFP
JLTZEH</t>
  </si>
  <si>
    <t>8997701012482859077</t>
  </si>
  <si>
    <t>Sapana_1106</t>
  </si>
  <si>
    <t>Sapana@1106</t>
  </si>
  <si>
    <t>jeet bhujel</t>
  </si>
  <si>
    <t>panchadhura deluxe</t>
  </si>
  <si>
    <t>kathmandu to lahan</t>
  </si>
  <si>
    <t>sabitribhujel1234@gmail.com</t>
  </si>
  <si>
    <t>Jeet@123</t>
  </si>
  <si>
    <t>BG0435130</t>
  </si>
  <si>
    <t>CZMJUS</t>
  </si>
  <si>
    <t>8997701012482785074</t>
  </si>
  <si>
    <t>Panchadhura_1682</t>
  </si>
  <si>
    <t>Panchadhura1682</t>
  </si>
  <si>
    <t>mukesh chaudhary</t>
  </si>
  <si>
    <t>Dhoom air bus</t>
  </si>
  <si>
    <t>BG0435454
BG0435045
BG0435349</t>
  </si>
  <si>
    <t>TGNGPO
AMFZTE
PGSQPO</t>
  </si>
  <si>
    <t>8997701012482882939</t>
  </si>
  <si>
    <t>Dhoom_9687</t>
  </si>
  <si>
    <t>Dhoom9687</t>
  </si>
  <si>
    <t>BG043
BG043
BG043</t>
  </si>
  <si>
    <t>8997701012482882947</t>
  </si>
  <si>
    <t>Dhoom_9689</t>
  </si>
  <si>
    <t>Dhoom9689</t>
  </si>
  <si>
    <t>surendra singh</t>
  </si>
  <si>
    <t>lahan</t>
  </si>
  <si>
    <t xml:space="preserve">a/c smart </t>
  </si>
  <si>
    <t>jadibuti</t>
  </si>
  <si>
    <t>suren4252@gmail.com</t>
  </si>
  <si>
    <t>Suren@123</t>
  </si>
  <si>
    <t>8997701012482734924</t>
  </si>
  <si>
    <t>A/Csmart_8753</t>
  </si>
  <si>
    <t>Smart@8753</t>
  </si>
  <si>
    <t>Anil prasad</t>
  </si>
  <si>
    <t>gaur</t>
  </si>
  <si>
    <t>kyc</t>
  </si>
  <si>
    <t>suraj</t>
  </si>
  <si>
    <t>balaju</t>
  </si>
  <si>
    <t>8997701012482785041</t>
  </si>
  <si>
    <t>Kyc_7362</t>
  </si>
  <si>
    <t>pradip giri</t>
  </si>
  <si>
    <t>sundar birat</t>
  </si>
  <si>
    <t>pradipgiri9812@gmail.com</t>
  </si>
  <si>
    <t>Pradip@123</t>
  </si>
  <si>
    <t>8997701012482785017</t>
  </si>
  <si>
    <t>Sundarbirat_8673</t>
  </si>
  <si>
    <t>Sundarbirat8673</t>
  </si>
  <si>
    <t>8997701012482785058</t>
  </si>
  <si>
    <t>Sundarbirat_8672</t>
  </si>
  <si>
    <t>Sundarbirat8672</t>
  </si>
  <si>
    <t>bageshwori yatayat</t>
  </si>
  <si>
    <t>red horse</t>
  </si>
  <si>
    <t>budhathokidipendra94@gmail.com</t>
  </si>
  <si>
    <t>Redhorse@123</t>
  </si>
  <si>
    <t>BG3738784
BG0435419
BG0435034</t>
  </si>
  <si>
    <t>UKGCKV
JPPJYF
CGITQQ</t>
  </si>
  <si>
    <t>8997701012480367917</t>
  </si>
  <si>
    <t>Redhorse_2903</t>
  </si>
  <si>
    <t>Redhorse@2903</t>
  </si>
  <si>
    <t>8997702252885452901</t>
  </si>
  <si>
    <t>Redhorse_0879</t>
  </si>
  <si>
    <t>Redhorse@0879</t>
  </si>
  <si>
    <t>bishnu joshi</t>
  </si>
  <si>
    <t>dhangadi</t>
  </si>
  <si>
    <t>mahakali air bus</t>
  </si>
  <si>
    <t>kathmandu to dhangadi</t>
  </si>
  <si>
    <t>joshiayush78@gmail.com</t>
  </si>
  <si>
    <t>Ajoshi@123</t>
  </si>
  <si>
    <t>Mahakali_1505</t>
  </si>
  <si>
    <t>binod sharma</t>
  </si>
  <si>
    <t>dang</t>
  </si>
  <si>
    <t>great rapti</t>
  </si>
  <si>
    <t>kathmandu to dang</t>
  </si>
  <si>
    <t>greatrapti0451@gmail.com</t>
  </si>
  <si>
    <t>Binod@123</t>
  </si>
  <si>
    <t>8997701012482775059</t>
  </si>
  <si>
    <t>Greatrapti_0451</t>
  </si>
  <si>
    <t>Greatrapti0451</t>
  </si>
  <si>
    <t>suraj chaudhary</t>
  </si>
  <si>
    <t>chaudharysuraj7117@gmail.com</t>
  </si>
  <si>
    <t>Suraj@123</t>
  </si>
  <si>
    <t>8997701012482785066</t>
  </si>
  <si>
    <t>Greatrapti_0450</t>
  </si>
  <si>
    <t>Greatrapti0450</t>
  </si>
  <si>
    <t>bikash gc</t>
  </si>
  <si>
    <t>bikashgc786@gmail.com</t>
  </si>
  <si>
    <t>Bikash@123</t>
  </si>
  <si>
    <t>BG0435504
BG0435211
BG0435569</t>
  </si>
  <si>
    <t>LBVUZS
UOGIFY
LAOATY</t>
  </si>
  <si>
    <t>8997701012482775240</t>
  </si>
  <si>
    <t>Greatrapti_0452</t>
  </si>
  <si>
    <t>Greatrapti0452</t>
  </si>
  <si>
    <t>bharat raj shrestha</t>
  </si>
  <si>
    <t>rajkumarbasnet3569@gmail.com</t>
  </si>
  <si>
    <t>Rajkumar@123</t>
  </si>
  <si>
    <t>BG0435731
BG0435222
BG3738793</t>
  </si>
  <si>
    <t>UEBYYD
RUDOIM
ZRYCGT</t>
  </si>
  <si>
    <t>8997701012482775257</t>
  </si>
  <si>
    <t>Greatrapti_0453</t>
  </si>
  <si>
    <t>Greatrapti0453</t>
  </si>
  <si>
    <t>khagendra basnet</t>
  </si>
  <si>
    <t>freedom luxury express</t>
  </si>
  <si>
    <t>adhikariroshan32@gmail.com</t>
  </si>
  <si>
    <t>Khagendra@123</t>
  </si>
  <si>
    <t>BG0435215
BG3739002
BG0435502</t>
  </si>
  <si>
    <t>ELTUVF
YFWFPI
TCPORB</t>
  </si>
  <si>
    <t>8997701012482775224</t>
  </si>
  <si>
    <t>Freedom_0094</t>
  </si>
  <si>
    <t>Freedom0094</t>
  </si>
  <si>
    <t>Freedom_0095</t>
  </si>
  <si>
    <t>Freedom0095</t>
  </si>
  <si>
    <t>ashish bhanja</t>
  </si>
  <si>
    <t>america</t>
  </si>
  <si>
    <t>samay air bus</t>
  </si>
  <si>
    <t>birgunj buspark</t>
  </si>
  <si>
    <t>BG0435074
BG0434894</t>
  </si>
  <si>
    <t>HHKENP
PPQGZI</t>
  </si>
  <si>
    <t>8997701012480642087</t>
  </si>
  <si>
    <t>Samaya_1111</t>
  </si>
  <si>
    <t>Samaya@1111</t>
  </si>
  <si>
    <t>ramchandra dai</t>
  </si>
  <si>
    <t>jadi buti kc tower</t>
  </si>
  <si>
    <t>ramachandrabasnet3@gmail.com</t>
  </si>
  <si>
    <t>Oneplus@123</t>
  </si>
  <si>
    <t>8997701012482775083</t>
  </si>
  <si>
    <t>Oneplus_9850</t>
  </si>
  <si>
    <t>Oneplus123</t>
  </si>
  <si>
    <t>tilak ghimire</t>
  </si>
  <si>
    <t>birat.3417@gmail.com</t>
  </si>
  <si>
    <t>Birat@123</t>
  </si>
  <si>
    <t>8997601012482775190</t>
  </si>
  <si>
    <t>Birat_3417</t>
  </si>
  <si>
    <t>Birat_3418</t>
  </si>
  <si>
    <t>jadibuti kc tower</t>
  </si>
  <si>
    <t>8997701012482775067</t>
  </si>
  <si>
    <t>Oneplus_9851</t>
  </si>
  <si>
    <t>lila amagai</t>
  </si>
  <si>
    <t>amagailila@gmail.com</t>
  </si>
  <si>
    <t>Amagailila@123</t>
  </si>
  <si>
    <t>8997701012482775075</t>
  </si>
  <si>
    <t>Rakshak_4199</t>
  </si>
  <si>
    <t>Rakshak@4199</t>
  </si>
  <si>
    <t>Rakshak_4197</t>
  </si>
  <si>
    <t>surendra lamsal</t>
  </si>
  <si>
    <t>smartshuvalaxmi air bus</t>
  </si>
  <si>
    <t>narayanghat to biratnagar</t>
  </si>
  <si>
    <t>BG0435165
BG0435179
BG0435001
BG0435065</t>
  </si>
  <si>
    <t>MQLGLA
LHEVNO
LNRCGZ
TNDBAI</t>
  </si>
  <si>
    <t>8997701012482775273</t>
  </si>
  <si>
    <t>Smartshuvalaxmi_0495</t>
  </si>
  <si>
    <t>rajendra prasad paudel</t>
  </si>
  <si>
    <t>new kripa air bus</t>
  </si>
  <si>
    <t>Kripa0172</t>
  </si>
  <si>
    <t>BG0435276
BG0434814
BG0434840
BG0435397</t>
  </si>
  <si>
    <t>UMZOIZ
HMNKDL
MWUGXF
PCUYRC</t>
  </si>
  <si>
    <t>8997701012482775281</t>
  </si>
  <si>
    <t>Newkripa_0563</t>
  </si>
  <si>
    <t>sachin.kumarmandal.101@gmail.com</t>
  </si>
  <si>
    <t>Sachin@123</t>
  </si>
  <si>
    <t>8997701012482775232</t>
  </si>
  <si>
    <t>Goldengoogle_9811</t>
  </si>
  <si>
    <t>Goldengoogle@9811</t>
  </si>
  <si>
    <t>8997701012482775174</t>
  </si>
  <si>
    <t>Goldengoogle_9812</t>
  </si>
  <si>
    <t>Goldengoogle@9812</t>
  </si>
  <si>
    <t>radhe</t>
  </si>
  <si>
    <t>radhe ev</t>
  </si>
  <si>
    <t>kathmandu to nuwakot</t>
  </si>
  <si>
    <t>SAMAKHUSHI CHOWK</t>
  </si>
  <si>
    <t>8997701012482444490</t>
  </si>
  <si>
    <t>Radhe_0473</t>
  </si>
  <si>
    <t>Radhe0473</t>
  </si>
  <si>
    <t>rajan dhungel</t>
  </si>
  <si>
    <t>dimond air bus</t>
  </si>
  <si>
    <t>rajandhungel314@gmail.com</t>
  </si>
  <si>
    <t>Rajan@9883</t>
  </si>
  <si>
    <t>8997701012482775315</t>
  </si>
  <si>
    <t>Diamondair_9883</t>
  </si>
  <si>
    <t>8997701012482785108</t>
  </si>
  <si>
    <t>Diamondair_9884</t>
  </si>
  <si>
    <t>hem raj dhakal</t>
  </si>
  <si>
    <t>MITERI AIR BUS</t>
  </si>
  <si>
    <t>KATHMANDU TO KAkarvitta</t>
  </si>
  <si>
    <t>miteri.3251@gmail.com</t>
  </si>
  <si>
    <t>Miteri@123</t>
  </si>
  <si>
    <t>8997701012482772825</t>
  </si>
  <si>
    <t>Miteri_3251</t>
  </si>
  <si>
    <t>8997701012480367891</t>
  </si>
  <si>
    <t>Miteri_3243</t>
  </si>
  <si>
    <t>lucky gwarko</t>
  </si>
  <si>
    <t>samridha sajha yatayat</t>
  </si>
  <si>
    <t>balkhu</t>
  </si>
  <si>
    <t>amanktm112@gmail.com</t>
  </si>
  <si>
    <t>Aman@123</t>
  </si>
  <si>
    <t>BG3738606</t>
  </si>
  <si>
    <t>VQTKDF</t>
  </si>
  <si>
    <t>8997701012482775364</t>
  </si>
  <si>
    <t>Kyc_0408</t>
  </si>
  <si>
    <t>diwakar dai</t>
  </si>
  <si>
    <t>fifa air bus</t>
  </si>
  <si>
    <t>jorpaTI BAGMATI PETROLPUMP</t>
  </si>
  <si>
    <t>Fifa_airbus_9855</t>
  </si>
  <si>
    <t>8997701012482772452</t>
  </si>
  <si>
    <t>Fifa_airbus_9856</t>
  </si>
  <si>
    <t>jatahi star air bus</t>
  </si>
  <si>
    <t>jagati</t>
  </si>
  <si>
    <t>BG3738882
BG3738901
BG3738711</t>
  </si>
  <si>
    <t>MBRZXN
ECPAER
ZQNDEE</t>
  </si>
  <si>
    <t>K3100U1B29A4</t>
  </si>
  <si>
    <t>8997701012480363486</t>
  </si>
  <si>
    <t>Star_9907</t>
  </si>
  <si>
    <t>Star@9907</t>
  </si>
  <si>
    <t>8997701012480376173</t>
  </si>
  <si>
    <t>Star_9908</t>
  </si>
  <si>
    <t>Star@9908</t>
  </si>
  <si>
    <t>8997701012482785090</t>
  </si>
  <si>
    <t>Redhorse_0881</t>
  </si>
  <si>
    <t>Redhorse@0881</t>
  </si>
  <si>
    <t>8997701062352332796</t>
  </si>
  <si>
    <t>Mithila_2515</t>
  </si>
  <si>
    <t>adento tour and travels</t>
  </si>
  <si>
    <t>Advento@123</t>
  </si>
  <si>
    <t>8997701012482775687</t>
  </si>
  <si>
    <t>Advento_Nepal_Travel&amp;Tours2</t>
  </si>
  <si>
    <t>Advento@9865</t>
  </si>
  <si>
    <t>8997701012480363544</t>
  </si>
  <si>
    <t>Advento_9864</t>
  </si>
  <si>
    <t>Advento@9864</t>
  </si>
  <si>
    <t>Advento_nepal_travel_tour</t>
  </si>
  <si>
    <t>Adventonepal@4025</t>
  </si>
  <si>
    <t>bishnu pokhrel</t>
  </si>
  <si>
    <t>kalash air bus</t>
  </si>
  <si>
    <t>bishnuppp1967@gmail.com</t>
  </si>
  <si>
    <t>Bishnu@123</t>
  </si>
  <si>
    <t>BG3738992</t>
  </si>
  <si>
    <t>8997701012480363536</t>
  </si>
  <si>
    <t>Kalash_4403</t>
  </si>
  <si>
    <t>nawraj paudel</t>
  </si>
  <si>
    <t>G21095162
G21095177</t>
  </si>
  <si>
    <t>MCKIFW
UGVZSR</t>
  </si>
  <si>
    <t>Kalash_4404</t>
  </si>
  <si>
    <t>ramji dai</t>
  </si>
  <si>
    <t>prithvi air bus</t>
  </si>
  <si>
    <t>8997701012480363528</t>
  </si>
  <si>
    <t>Prithvi_2885</t>
  </si>
  <si>
    <t>Prithvi@2885</t>
  </si>
  <si>
    <t>8997701012480376033</t>
  </si>
  <si>
    <t>Prithvi_2886</t>
  </si>
  <si>
    <t>Prithvi@2886</t>
  </si>
  <si>
    <t>ramesh khanal</t>
  </si>
  <si>
    <t>mahadev air bus</t>
  </si>
  <si>
    <t>Agni_3156</t>
  </si>
  <si>
    <t>Agni@3156</t>
  </si>
  <si>
    <t>ram bahadur karki</t>
  </si>
  <si>
    <t>rk4454724@gmail.com</t>
  </si>
  <si>
    <t>8997701012480365382</t>
  </si>
  <si>
    <t>kalash_2427</t>
  </si>
  <si>
    <t>dhanraj thepe</t>
  </si>
  <si>
    <t>8997701012480365416</t>
  </si>
  <si>
    <t>Agni_9924</t>
  </si>
  <si>
    <t>Agni9924</t>
  </si>
  <si>
    <t>8997701012480365119</t>
  </si>
  <si>
    <t>Sajilo_9989</t>
  </si>
  <si>
    <t>Sajilo9989</t>
  </si>
  <si>
    <t>8997701012480366810</t>
  </si>
  <si>
    <t>Sajilo_9988</t>
  </si>
  <si>
    <t>Sajilo9988</t>
  </si>
  <si>
    <t>dipak ji</t>
  </si>
  <si>
    <t>dhoom 5</t>
  </si>
  <si>
    <t>dhoom5.8696@gmail.com</t>
  </si>
  <si>
    <t>Dhoom@123</t>
  </si>
  <si>
    <t>8997701012482775307</t>
  </si>
  <si>
    <t>Dhoom5</t>
  </si>
  <si>
    <t>8997701012482775463</t>
  </si>
  <si>
    <t>Mithila_3364</t>
  </si>
  <si>
    <t>bir bahadur basyal</t>
  </si>
  <si>
    <t>tandav air bus</t>
  </si>
  <si>
    <t>tandav.8367@gmail.com</t>
  </si>
  <si>
    <t>Tandav@123</t>
  </si>
  <si>
    <t>8997701012480365036</t>
  </si>
  <si>
    <t>tandav_8367</t>
  </si>
  <si>
    <t>8997701012482859259</t>
  </si>
  <si>
    <t>Agni_3158</t>
  </si>
  <si>
    <t>bir bahadur basnet</t>
  </si>
  <si>
    <t>8997701012480365077</t>
  </si>
  <si>
    <t>Agni_9925</t>
  </si>
  <si>
    <t>Agni@9925</t>
  </si>
  <si>
    <t>abhishek mahato</t>
  </si>
  <si>
    <t>sabaila tiger</t>
  </si>
  <si>
    <t>kathmandu to dhanusa</t>
  </si>
  <si>
    <t>8997701012480365069</t>
  </si>
  <si>
    <t>Sabaila_tiger_9909</t>
  </si>
  <si>
    <t>Sabaila@9909</t>
  </si>
  <si>
    <t>birbahadurbahadurbir7@gmail.com</t>
  </si>
  <si>
    <t>Bir@1234</t>
  </si>
  <si>
    <t>9887701012480365085</t>
  </si>
  <si>
    <t>Tandav_8364</t>
  </si>
  <si>
    <t>Tandav@8364</t>
  </si>
  <si>
    <t>jagdish dai</t>
  </si>
  <si>
    <t>saipal air bus</t>
  </si>
  <si>
    <t>kathmandu to bajhang</t>
  </si>
  <si>
    <t>Jagdish@123</t>
  </si>
  <si>
    <t>Saipal_3346</t>
  </si>
  <si>
    <t>Saipal@3346</t>
  </si>
  <si>
    <t>new shivshaikti</t>
  </si>
  <si>
    <t>Shiv@123</t>
  </si>
  <si>
    <t>BG3738923
BG3738614
BG3738905</t>
  </si>
  <si>
    <t>ZPJMKU
QLTGIV
PBMUZN</t>
  </si>
  <si>
    <t>9887701012480366687</t>
  </si>
  <si>
    <t>Newshivshakti_9976</t>
  </si>
  <si>
    <t>BG3738557
BG3738620
BG3738859</t>
  </si>
  <si>
    <t>LHAZLJ
THNYFT
ICGKZB</t>
  </si>
  <si>
    <t>9887701012480366695</t>
  </si>
  <si>
    <t>Newshivshakti_9977</t>
  </si>
  <si>
    <t>not activated</t>
  </si>
  <si>
    <t>8997701012480366752</t>
  </si>
  <si>
    <t>rajan roka</t>
  </si>
  <si>
    <t>BG0435584
BG0435597
BG0435203</t>
  </si>
  <si>
    <t>TEZQTP
JJCBEV
YTFLAI</t>
  </si>
  <si>
    <t>K3100U1B2CEA</t>
  </si>
  <si>
    <t>8997701012480366703</t>
  </si>
  <si>
    <t>Goldengoogle_9813</t>
  </si>
  <si>
    <t>Golden@9813</t>
  </si>
  <si>
    <t>BG3739015
BG3738777
BG3738924</t>
  </si>
  <si>
    <t>NKROWV
HBXIXO
IBPBCC</t>
  </si>
  <si>
    <t>9887701012480366653</t>
  </si>
  <si>
    <t>Goldengoogle_9814</t>
  </si>
  <si>
    <t>Golden@9814</t>
  </si>
  <si>
    <t>manoj gurung</t>
  </si>
  <si>
    <t>new grey hound</t>
  </si>
  <si>
    <t>8997701012480366729</t>
  </si>
  <si>
    <t>Newgreyhound_1</t>
  </si>
  <si>
    <t>8997701012480366711</t>
  </si>
  <si>
    <t>Newgreyhound_2</t>
  </si>
  <si>
    <t>K3100U1B305C</t>
  </si>
  <si>
    <t>Diamond_5695</t>
  </si>
  <si>
    <t>soyash shrestha</t>
  </si>
  <si>
    <t>darjling express air bus</t>
  </si>
  <si>
    <t>Soyash@123</t>
  </si>
  <si>
    <t>BG3738872
BG3738912</t>
  </si>
  <si>
    <t xml:space="preserve">YHKWKH
</t>
  </si>
  <si>
    <t>darjelingexpress</t>
  </si>
  <si>
    <t>BG04355702
BG0435310</t>
  </si>
  <si>
    <t>VNECSB
USHHIZ</t>
  </si>
  <si>
    <t>suman gole</t>
  </si>
  <si>
    <t>sumitra pvt ltd</t>
  </si>
  <si>
    <t>kathmandu to sindhuli</t>
  </si>
  <si>
    <t>sumangole706@gmail.com</t>
  </si>
  <si>
    <t>Gole@123</t>
  </si>
  <si>
    <t>F83794768
F83794492</t>
  </si>
  <si>
    <t>Kamalamai_395</t>
  </si>
  <si>
    <t>Kamalamai@395</t>
  </si>
  <si>
    <t>BALRAM PANT</t>
  </si>
  <si>
    <t>MAHAKLI GOLD</t>
  </si>
  <si>
    <t>SURAJ</t>
  </si>
  <si>
    <t>KATHMANDU TO MAHENDRA NAGAR</t>
  </si>
  <si>
    <t>K3100U1B2D4A</t>
  </si>
  <si>
    <t>8997701012480367743</t>
  </si>
  <si>
    <t>Mahakaligold_1539</t>
  </si>
  <si>
    <t>hari kadel</t>
  </si>
  <si>
    <t xml:space="preserve">dupcheshwor </t>
  </si>
  <si>
    <t>harisharankandel75@gmail.com</t>
  </si>
  <si>
    <t>Hari@123</t>
  </si>
  <si>
    <t>BG0435442
BG0435298</t>
  </si>
  <si>
    <t>NOYVRQ
OZUZOB</t>
  </si>
  <si>
    <t>K3100U1B2A92</t>
  </si>
  <si>
    <t>8997701012480367867</t>
  </si>
  <si>
    <t>Dupcheshwor_0576</t>
  </si>
  <si>
    <t>miteri</t>
  </si>
  <si>
    <t>K3100U1B2A9D</t>
  </si>
  <si>
    <t>8997701012480367875</t>
  </si>
  <si>
    <t>K3100U1B2AA3</t>
  </si>
  <si>
    <t>8997701012480367800</t>
  </si>
  <si>
    <t>K3100U1B2D4B</t>
  </si>
  <si>
    <t>sabin theng</t>
  </si>
  <si>
    <t>malika ac deluxe</t>
  </si>
  <si>
    <t>theengsabin4@gmail.com</t>
  </si>
  <si>
    <t>Sabin@123</t>
  </si>
  <si>
    <t>BC0569843</t>
  </si>
  <si>
    <t>ESGWNF</t>
  </si>
  <si>
    <t>Malika_5212</t>
  </si>
  <si>
    <t>8997701012482772957</t>
  </si>
  <si>
    <t>King_0457</t>
  </si>
  <si>
    <t>tufan air bus</t>
  </si>
  <si>
    <t>BC3730024
BC3730090</t>
  </si>
  <si>
    <t>PJSPEK
ZVBXYU</t>
  </si>
  <si>
    <t>NCELL</t>
  </si>
  <si>
    <t>1 NCELL</t>
  </si>
  <si>
    <t>Tufan_4244</t>
  </si>
  <si>
    <t>Tufan@4244</t>
  </si>
  <si>
    <t>mahadev sah</t>
  </si>
  <si>
    <t>payal air bus</t>
  </si>
  <si>
    <t>sahsurendrakumar435@gmail.com</t>
  </si>
  <si>
    <t>BE7559799
BE7559590</t>
  </si>
  <si>
    <t>ZICHPV
VDDGEF</t>
  </si>
  <si>
    <t>K3100U1B2D4F</t>
  </si>
  <si>
    <t>9760843948
9813742014</t>
  </si>
  <si>
    <t>2026-06-26
2026-03-27</t>
  </si>
  <si>
    <t>Payal_7188</t>
  </si>
  <si>
    <t>8997701012480379193</t>
  </si>
  <si>
    <t>9760839443
9702999881</t>
  </si>
  <si>
    <t>2026-06-25
2026-03-06</t>
  </si>
  <si>
    <t>Payal_7189</t>
  </si>
  <si>
    <t>aarati air bus</t>
  </si>
  <si>
    <t>9760839121
9703124895</t>
  </si>
  <si>
    <t>Aarati_5947</t>
  </si>
  <si>
    <t>Aarati_5946</t>
  </si>
  <si>
    <t>mukti dai</t>
  </si>
  <si>
    <t>Mahal_9670</t>
  </si>
  <si>
    <t>Mahal@9670</t>
  </si>
  <si>
    <t>Mahal_9669</t>
  </si>
  <si>
    <t>Mahal@9669</t>
  </si>
  <si>
    <t>shiv ji jaishwal</t>
  </si>
  <si>
    <t>dhanusa safari</t>
  </si>
  <si>
    <t>kathmandu to balara</t>
  </si>
  <si>
    <t>Dhanushasafari_3368</t>
  </si>
  <si>
    <t>Safari3368</t>
  </si>
  <si>
    <t>8997701012480376090</t>
  </si>
  <si>
    <t>New dhanusha safari 3369</t>
  </si>
  <si>
    <t>safari3369</t>
  </si>
  <si>
    <t xml:space="preserve">maha binayak </t>
  </si>
  <si>
    <t>kaflekanxa234@gmail.com</t>
  </si>
  <si>
    <t>Khagendra@234</t>
  </si>
  <si>
    <t>BG9899024
BG9898885
BG9898702</t>
  </si>
  <si>
    <t>AKUZSJ
WFROSJ
BBHFEW</t>
  </si>
  <si>
    <t>8997701012480376108</t>
  </si>
  <si>
    <t>Mahabinayak_4768</t>
  </si>
  <si>
    <t>8997701012480367859</t>
  </si>
  <si>
    <t>Mahabinayak_4766</t>
  </si>
  <si>
    <t>Mahabinayak@4766</t>
  </si>
  <si>
    <t>binod shrestha</t>
  </si>
  <si>
    <t>anmol air bus</t>
  </si>
  <si>
    <t>ajeet</t>
  </si>
  <si>
    <t>kathmandu to</t>
  </si>
  <si>
    <t>anmoltiger4191@gmail.com</t>
  </si>
  <si>
    <t>Anmol@123</t>
  </si>
  <si>
    <t>8997701012480376082</t>
  </si>
  <si>
    <t>Anmol_4193</t>
  </si>
  <si>
    <t>8997701012480369695</t>
  </si>
  <si>
    <t>Anmol_4191</t>
  </si>
  <si>
    <t>BG9898422
BG9898759
BG9898780</t>
  </si>
  <si>
    <t>TOHXPX
GFSPCQ
RFXYSK</t>
  </si>
  <si>
    <t>8997701032487084646</t>
  </si>
  <si>
    <t>Anmol_3258</t>
  </si>
  <si>
    <t>Anmol@3258</t>
  </si>
  <si>
    <t>BG9898439
BG9898778
BG9898431</t>
  </si>
  <si>
    <t>VFEYBW
ZGQSKU
EFHTMH</t>
  </si>
  <si>
    <t>8997701012480642335</t>
  </si>
  <si>
    <t>Anmol_3257</t>
  </si>
  <si>
    <t>Anmol@3257</t>
  </si>
  <si>
    <t>bijendra gupta</t>
  </si>
  <si>
    <t>gangotri air bus</t>
  </si>
  <si>
    <t>bijendragupta588@gmail.com</t>
  </si>
  <si>
    <t>Bijendra@123</t>
  </si>
  <si>
    <t>G21094862
G21094938
BG9898783</t>
  </si>
  <si>
    <t>HFLDZU
ELAOEJ
TQUGRJ</t>
  </si>
  <si>
    <t>8997701012480379201</t>
  </si>
  <si>
    <t>Gongatri AC</t>
  </si>
  <si>
    <t>samip dhami</t>
  </si>
  <si>
    <t>mero bus</t>
  </si>
  <si>
    <t>merobus1272@gmail.com</t>
  </si>
  <si>
    <t>Merobus123</t>
  </si>
  <si>
    <t>BG9898808
BG9898772</t>
  </si>
  <si>
    <t>POKAWM
WKWAOV</t>
  </si>
  <si>
    <t>8997701012480379243</t>
  </si>
  <si>
    <t>Merobus_1272</t>
  </si>
  <si>
    <t>BG9898772
BG9898808</t>
  </si>
  <si>
    <t>Merobus_1273</t>
  </si>
  <si>
    <t>sabin shrestha</t>
  </si>
  <si>
    <t>famous bus</t>
  </si>
  <si>
    <t>G21095925
G21095929</t>
  </si>
  <si>
    <t>MQCLSO
XNQXHO</t>
  </si>
  <si>
    <t>Famous_9948</t>
  </si>
  <si>
    <t>ajit singh</t>
  </si>
  <si>
    <t>8997701012480379268</t>
  </si>
  <si>
    <t>9760844933
9712006508</t>
  </si>
  <si>
    <t>Oneplus_0975</t>
  </si>
  <si>
    <t>Oneplus@0975</t>
  </si>
  <si>
    <t>8997701012480376207</t>
  </si>
  <si>
    <t>9760845166
9712006509</t>
  </si>
  <si>
    <t>Oneplus_0976</t>
  </si>
  <si>
    <t>Oneplus@0976</t>
  </si>
  <si>
    <t>krishna chetteri</t>
  </si>
  <si>
    <t>boeing 777 air bus</t>
  </si>
  <si>
    <t>chetrikrishna630@gmail.com</t>
  </si>
  <si>
    <t>BG9898461
BG9898440</t>
  </si>
  <si>
    <t>VHPDEY
JHWHOK</t>
  </si>
  <si>
    <t>8997701012480379185</t>
  </si>
  <si>
    <t>9760845042
9712006507</t>
  </si>
  <si>
    <t>2026-08-22
2026-03-24</t>
  </si>
  <si>
    <t>Boeing_4588</t>
  </si>
  <si>
    <t>bikram pradhan</t>
  </si>
  <si>
    <t>8997701012480366786</t>
  </si>
  <si>
    <t>Boeing_4587</t>
  </si>
  <si>
    <t>Boeing@4587</t>
  </si>
  <si>
    <t>dhiraj shrestha</t>
  </si>
  <si>
    <t>shrestha travels</t>
  </si>
  <si>
    <t>dhirajshrestha1977@gmail.com</t>
  </si>
  <si>
    <t>Dhiraj@123</t>
  </si>
  <si>
    <t>BG9898764</t>
  </si>
  <si>
    <t>APWDJF</t>
  </si>
  <si>
    <t>8997701032487084448</t>
  </si>
  <si>
    <t>Shrestha_5208</t>
  </si>
  <si>
    <t>Shrestha5208</t>
  </si>
  <si>
    <t>janakpurbolt air bus</t>
  </si>
  <si>
    <t>ram bahadur</t>
  </si>
  <si>
    <t>personal use</t>
  </si>
  <si>
    <t>home</t>
  </si>
  <si>
    <t>anish</t>
  </si>
  <si>
    <t>new rudraksha air bus</t>
  </si>
  <si>
    <t>8997701082208546910</t>
  </si>
  <si>
    <t>New rudraksha</t>
  </si>
  <si>
    <t>newrudraksha9551</t>
  </si>
  <si>
    <t>SSID</t>
  </si>
  <si>
    <t>PASSWORD</t>
  </si>
  <si>
    <t>Namaste WiFi-2.4G-C0D9</t>
  </si>
  <si>
    <t>94FF0575</t>
  </si>
  <si>
    <t>Namaste WiFi-2.4G-CBCD</t>
  </si>
  <si>
    <t>A4F3E67D</t>
  </si>
  <si>
    <t>Namaste WiFi-2.4G-C1FA</t>
  </si>
  <si>
    <t>942048B7</t>
  </si>
  <si>
    <t>Namaste WiFi-2.4G-C3F5</t>
  </si>
  <si>
    <t>941B3EBD</t>
  </si>
  <si>
    <t>Namaste WiFi-2.4G-C05F</t>
  </si>
  <si>
    <t>S.No.</t>
  </si>
  <si>
    <t>sim serial no.</t>
  </si>
  <si>
    <t>puk1</t>
  </si>
  <si>
    <t>puk2</t>
  </si>
  <si>
    <t>bus detail</t>
  </si>
  <si>
    <t>Column 8</t>
  </si>
  <si>
    <t>data validity</t>
  </si>
  <si>
    <t>mahalaxmi_2841</t>
  </si>
  <si>
    <t>superbarsha_5692</t>
  </si>
  <si>
    <t>8997701012480379136</t>
  </si>
  <si>
    <t>Samay_0312</t>
  </si>
  <si>
    <t>8997701012480379144</t>
  </si>
  <si>
    <t>kalika_9151</t>
  </si>
  <si>
    <t>8997701012480379151</t>
  </si>
  <si>
    <t>8997701012480379177</t>
  </si>
  <si>
    <t>8997701012480379300</t>
  </si>
  <si>
    <t>8997701012480379227</t>
  </si>
  <si>
    <t>8997701012480379235</t>
  </si>
  <si>
    <t>8997701012480379250</t>
  </si>
  <si>
    <t>8997701012480379284</t>
  </si>
  <si>
    <t>8997701012480376116</t>
  </si>
  <si>
    <t>retrive</t>
  </si>
  <si>
    <t>Namastejanakpur_4217</t>
  </si>
  <si>
    <t>8997701012480376074</t>
  </si>
  <si>
    <t>8997701012480376066</t>
  </si>
  <si>
    <t>8997701012480376025</t>
  </si>
  <si>
    <t>8997701012480376132</t>
  </si>
  <si>
    <t>8997701012480376157</t>
  </si>
  <si>
    <t>8997701012480376165</t>
  </si>
  <si>
    <t>onelus</t>
  </si>
  <si>
    <t>8997701062352177126</t>
  </si>
  <si>
    <t>pin 1</t>
  </si>
  <si>
    <t>pin 2</t>
  </si>
  <si>
    <t>8997702252885452927</t>
  </si>
  <si>
    <t>8997702252885452919</t>
  </si>
  <si>
    <t>janakpurbolt</t>
  </si>
  <si>
    <t>redhorse</t>
  </si>
  <si>
    <t>8997702252885452893</t>
  </si>
  <si>
    <t>8997702252885452885</t>
  </si>
  <si>
    <t>NEW ANGEL</t>
  </si>
  <si>
    <t>8997702252885452877</t>
  </si>
  <si>
    <t>mahadeb</t>
  </si>
  <si>
    <t>8997702252885452869</t>
  </si>
  <si>
    <t>superbarsha</t>
  </si>
  <si>
    <t>8997702252885452851</t>
  </si>
  <si>
    <t>boeing 777</t>
  </si>
  <si>
    <t>8997702252885452844</t>
  </si>
  <si>
    <t>8997702252885452836</t>
  </si>
  <si>
    <t>8997702252885455151</t>
  </si>
  <si>
    <t>8997702252885455169</t>
  </si>
  <si>
    <t>8997702252885455177</t>
  </si>
  <si>
    <t>8997702252885455185</t>
  </si>
  <si>
    <t>8997702252885455193</t>
  </si>
  <si>
    <t>8997702252885455201</t>
  </si>
  <si>
    <t>8997702252885455219</t>
  </si>
  <si>
    <t>8997702252885455227</t>
  </si>
  <si>
    <t>8997702252885455235</t>
  </si>
  <si>
    <t>8997702252885455243</t>
  </si>
  <si>
    <t>8997702252885448867</t>
  </si>
  <si>
    <t>8997702252885448859</t>
  </si>
  <si>
    <t>8997702252885448842</t>
  </si>
  <si>
    <t>8997702252885448834</t>
  </si>
  <si>
    <t>8997702252885448826</t>
  </si>
  <si>
    <t>8997702252885448818</t>
  </si>
  <si>
    <t>8997702252885448800</t>
  </si>
  <si>
    <t>8997702252885448792</t>
  </si>
  <si>
    <t>8997702252885448784</t>
  </si>
  <si>
    <t>8997702252885448776</t>
  </si>
  <si>
    <t>SNO.</t>
  </si>
  <si>
    <t>DEVICE SERIAL NO.</t>
  </si>
  <si>
    <t>SIM SERIAL NO.</t>
  </si>
  <si>
    <t>MOBILE NO.</t>
  </si>
  <si>
    <t>ACTIVATED DATE</t>
  </si>
  <si>
    <t>BUS NAME</t>
  </si>
  <si>
    <t>BUS NO.</t>
  </si>
  <si>
    <t>Column 3</t>
  </si>
  <si>
    <t>Column 4</t>
  </si>
  <si>
    <t>K3100U1B2A5F</t>
  </si>
  <si>
    <t>K3100U1B335D</t>
  </si>
  <si>
    <t>8997701012480362306</t>
  </si>
  <si>
    <t>K3100U1B336D</t>
  </si>
  <si>
    <t>8997701012480362330</t>
  </si>
  <si>
    <t>saurab khan</t>
  </si>
  <si>
    <t>bullet</t>
  </si>
  <si>
    <t>done</t>
  </si>
  <si>
    <t>jatahi star</t>
  </si>
  <si>
    <t>K3100U1B29AA</t>
  </si>
  <si>
    <t>sahaj</t>
  </si>
  <si>
    <t>K3100U1B29D3</t>
  </si>
  <si>
    <t>8997701012480365408</t>
  </si>
  <si>
    <t>K3100U1B2A00</t>
  </si>
  <si>
    <t>K3100U1B2A22</t>
  </si>
  <si>
    <t>K3100U1B2A2A</t>
  </si>
  <si>
    <t>advento</t>
  </si>
  <si>
    <t>K3100U1B2A44</t>
  </si>
  <si>
    <t>kalash</t>
  </si>
  <si>
    <t>K3100U1B2A67</t>
  </si>
  <si>
    <t>prithvi</t>
  </si>
  <si>
    <t>enterned</t>
  </si>
  <si>
    <t>K3100U1B2B5E</t>
  </si>
  <si>
    <t>mithila</t>
  </si>
  <si>
    <t>K3100U1B2BFB</t>
  </si>
  <si>
    <t>8997701012480363510</t>
  </si>
  <si>
    <t>8997701012480363908</t>
  </si>
  <si>
    <t>star</t>
  </si>
  <si>
    <t xml:space="preserve">STAR </t>
  </si>
  <si>
    <t>sitaac</t>
  </si>
  <si>
    <t>8997701012480363940</t>
  </si>
  <si>
    <t>8997701012480363965</t>
  </si>
  <si>
    <t>raftar</t>
  </si>
  <si>
    <t>8997701012480363981</t>
  </si>
  <si>
    <t>birat</t>
  </si>
  <si>
    <t>8997701012480363494</t>
  </si>
  <si>
    <t>national</t>
  </si>
  <si>
    <t>8997701012480363502</t>
  </si>
  <si>
    <t>prakash neupane</t>
  </si>
  <si>
    <t>K3100U1B2C99</t>
  </si>
  <si>
    <t>K3100U1B2A29</t>
  </si>
  <si>
    <t>shahyatri</t>
  </si>
  <si>
    <t>entered</t>
  </si>
  <si>
    <t>K3100U1B2D1D</t>
  </si>
  <si>
    <t>8997701012480365093</t>
  </si>
  <si>
    <t>K3100U1B2C53</t>
  </si>
  <si>
    <t>agni</t>
  </si>
  <si>
    <t>K3100U1B2D43</t>
  </si>
  <si>
    <t>king</t>
  </si>
  <si>
    <t>K3100U1B2A2F</t>
  </si>
  <si>
    <t>sajilo</t>
  </si>
  <si>
    <t>K3100U1B2C74</t>
  </si>
  <si>
    <t>8997701012480365127</t>
  </si>
  <si>
    <t>K3100U1B2A3C</t>
  </si>
  <si>
    <t>K3100U1B2A34</t>
  </si>
  <si>
    <t>tandav</t>
  </si>
  <si>
    <t>K3100U1B2D27</t>
  </si>
  <si>
    <t>K3100U1B3093</t>
  </si>
  <si>
    <t>K3100U1B31B7</t>
  </si>
  <si>
    <t>K3100U1B3053</t>
  </si>
  <si>
    <t>9887701012480365135</t>
  </si>
  <si>
    <t>K3100U1B31DE</t>
  </si>
  <si>
    <t>hamro</t>
  </si>
  <si>
    <t>K3100U1B2F72</t>
  </si>
  <si>
    <t>NEW SHIV SHAKTI</t>
  </si>
  <si>
    <t>K3100U1B2F7D</t>
  </si>
  <si>
    <t>K3100U1B3030</t>
  </si>
  <si>
    <t>9887701012480366679</t>
  </si>
  <si>
    <t>K3100U1B3225</t>
  </si>
  <si>
    <t>9887701012480366661</t>
  </si>
  <si>
    <t>K3100U1B3C8</t>
  </si>
  <si>
    <t>8997701012480366638</t>
  </si>
  <si>
    <t>K3100U1B3259</t>
  </si>
  <si>
    <t>8997701012480365143</t>
  </si>
  <si>
    <t>ram dai</t>
  </si>
  <si>
    <t>6CADEF1B3033</t>
  </si>
  <si>
    <t>Greyhound_1</t>
  </si>
  <si>
    <t>CAMERA</t>
  </si>
  <si>
    <t>6CADEF1B31CF</t>
  </si>
  <si>
    <t>Greyhound_2</t>
  </si>
  <si>
    <t>6CADEF1B301D</t>
  </si>
  <si>
    <t>maha binayak</t>
  </si>
  <si>
    <t>6CADEF1B306F</t>
  </si>
  <si>
    <t>safari</t>
  </si>
  <si>
    <t>6CADEF1B304A</t>
  </si>
  <si>
    <t>jatahi</t>
  </si>
  <si>
    <t>6CADEF1B3054</t>
  </si>
  <si>
    <t>6CADEF1B3048</t>
  </si>
  <si>
    <t>6CADEF1B3047</t>
  </si>
  <si>
    <t>6CADEF1B304E</t>
  </si>
  <si>
    <t>new angel</t>
  </si>
  <si>
    <t>6CADEF1B30BE</t>
  </si>
  <si>
    <t>newshivshakti</t>
  </si>
  <si>
    <r>
      <rPr>
        <color rgb="FF1155CC"/>
        <u/>
      </rPr>
      <t>s.no</t>
    </r>
    <r>
      <rPr/>
      <t>.</t>
    </r>
  </si>
  <si>
    <t>serial no.</t>
  </si>
  <si>
    <t>verificaiton code</t>
  </si>
  <si>
    <t>BG0435335</t>
  </si>
  <si>
    <t>QPYBNA</t>
  </si>
  <si>
    <t>BG0435508</t>
  </si>
  <si>
    <t>WIFOVO</t>
  </si>
  <si>
    <t>BG0435589</t>
  </si>
  <si>
    <t>NOBEFJ</t>
  </si>
  <si>
    <t>BG0435706</t>
  </si>
  <si>
    <t>YGKDTB</t>
  </si>
  <si>
    <t>BG0435728</t>
  </si>
  <si>
    <t>STEPEN</t>
  </si>
  <si>
    <t>BG0435515</t>
  </si>
  <si>
    <t>IITBGP</t>
  </si>
  <si>
    <t>BG0435194</t>
  </si>
  <si>
    <t>TLPMFK</t>
  </si>
  <si>
    <t>BG0435299</t>
  </si>
  <si>
    <t>XLJBFJ</t>
  </si>
  <si>
    <t>BG0435520</t>
  </si>
  <si>
    <t>CSWOHX</t>
  </si>
  <si>
    <t>BG0435645</t>
  </si>
  <si>
    <t>IFEKGI</t>
  </si>
  <si>
    <t>BG0435570</t>
  </si>
  <si>
    <t>VNECSB</t>
  </si>
  <si>
    <t>BG0435597</t>
  </si>
  <si>
    <t>JJCBEV</t>
  </si>
  <si>
    <t>BG0435540</t>
  </si>
  <si>
    <t>EFJUGJ</t>
  </si>
  <si>
    <t>BG0435310</t>
  </si>
  <si>
    <t>USHHIZ</t>
  </si>
  <si>
    <t>BG0435776</t>
  </si>
  <si>
    <t>SPGXBT</t>
  </si>
  <si>
    <t>BG0435752</t>
  </si>
  <si>
    <t>FEFGOZ</t>
  </si>
  <si>
    <t>BG0435451</t>
  </si>
  <si>
    <t>SWQYQO</t>
  </si>
  <si>
    <t>BG0435203</t>
  </si>
  <si>
    <t>YTFLAI</t>
  </si>
  <si>
    <t>BG0435584</t>
  </si>
  <si>
    <t>TEZQTP</t>
  </si>
  <si>
    <t>BG0435533</t>
  </si>
  <si>
    <t>SXTCJU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</si>
</sst>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/mm/dd"/>
    <numFmt numFmtId="166" formatCode="yyyy-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262626"/>
      <name val="Tahoma"/>
    </font>
    <font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&quot;Aptos Narrow&quot;"/>
    </font>
    <font>
      <color rgb="FF434343"/>
      <name val="&quot;Arial&quot;"/>
    </font>
    <font>
      <color rgb="FF434343"/>
      <name val="Roboto"/>
    </font>
    <font>
      <sz val="11.0"/>
      <color theme="1"/>
      <name val="Calibri"/>
    </font>
    <font>
      <sz val="11.0"/>
      <color rgb="FF000000"/>
      <name val="微软雅黑"/>
    </font>
    <font>
      <sz val="11.0"/>
      <color rgb="FF000000"/>
      <name val="Arial"/>
    </font>
    <font>
      <sz val="11.0"/>
      <color theme="1"/>
      <name val="&quot;Calibri&quot;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442F65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3" fillId="4" fontId="7" numFmtId="0" xfId="0" applyAlignment="1" applyBorder="1" applyFill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horizontal="right"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6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1-style 2">
      <tableStyleElement dxfId="2" type="firstRowStripe"/>
      <tableStyleElement dxfId="5" type="secondRowStripe"/>
    </tableStyle>
    <tableStyle count="2" pivot="0" name="Form Responses 1-style 3">
      <tableStyleElement dxfId="3" type="firstRowStripe"/>
      <tableStyleElement dxfId="2" type="secondRowStripe"/>
    </tableStyle>
    <tableStyle count="2" pivot="0" name="Form Responses 1-style 4">
      <tableStyleElement dxfId="2" type="firstRowStripe"/>
      <tableStyleElement dxfId="5" type="secondRowStripe"/>
    </tableStyle>
    <tableStyle count="2" pivot="0" name="Form Responses 1-style 5">
      <tableStyleElement dxfId="3" type="firstRowStripe"/>
      <tableStyleElement dxfId="2" type="secondRowStripe"/>
    </tableStyle>
    <tableStyle count="2" pivot="0" name="Form Responses 1-style 6">
      <tableStyleElement dxfId="5" type="firstRowStripe"/>
      <tableStyleElement dxfId="2" type="secondRowStripe"/>
    </tableStyle>
    <tableStyle count="2" pivot="0" name="Form Responses 1-style 7">
      <tableStyleElement dxfId="5" type="firstRowStripe"/>
      <tableStyleElement dxfId="2" type="secondRowStripe"/>
    </tableStyle>
    <tableStyle count="2" pivot="0" name="Form Responses 1-style 8">
      <tableStyleElement dxfId="2" type="firstRowStripe"/>
      <tableStyleElement dxfId="5" type="secondRowStripe"/>
    </tableStyle>
    <tableStyle count="2" pivot="0" name="Form Responses 1-style 9">
      <tableStyleElement dxfId="3" type="firstRowStripe"/>
      <tableStyleElement dxfId="2" type="secondRowStripe"/>
    </tableStyle>
    <tableStyle count="2" pivot="0" name="Form Responses 1-style 10">
      <tableStyleElement dxfId="3" type="firstRowStripe"/>
      <tableStyleElement dxfId="2" type="secondRowStripe"/>
    </tableStyle>
    <tableStyle count="2" pivot="0" name="Form Responses 1-style 11">
      <tableStyleElement dxfId="5" type="firstRowStripe"/>
      <tableStyleElement dxfId="2" type="secondRowStripe"/>
    </tableStyle>
    <tableStyle count="2" pivot="0" name="Form Responses 1-style 12">
      <tableStyleElement dxfId="2" type="firstRowStripe"/>
      <tableStyleElement dxfId="5" type="secondRowStripe"/>
    </tableStyle>
    <tableStyle count="2" pivot="0" name="Form Responses 1-style 13">
      <tableStyleElement dxfId="3" type="firstRowStripe"/>
      <tableStyleElement dxfId="2" type="secondRowStripe"/>
    </tableStyle>
    <tableStyle count="4" pivot="0" name="sim serial no.-style">
      <tableStyleElement dxfId="17" type="headerRow"/>
      <tableStyleElement dxfId="2" type="firstRowStripe"/>
      <tableStyleElement dxfId="5" type="secondRowStripe"/>
      <tableStyleElement dxfId="4" size="0" type="wholeTable"/>
    </tableStyle>
    <tableStyle count="4" pivot="0" name="ncell sim-style">
      <tableStyleElement dxfId="17" type="headerRow"/>
      <tableStyleElement dxfId="2" type="firstRowStripe"/>
      <tableStyleElement dxfId="5" type="secondRowStripe"/>
      <tableStyleElement dxfId="4" size="0" type="wholeTable"/>
    </tableStyle>
    <tableStyle count="4" pivot="0" name="NTC BIRGUNJ-style">
      <tableStyleElement dxfId="17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lram Mandal" id="{0712bd21-e15c-440c-af6d-372bc8eb4b81}" providerId="google-sheets"/>
</x18tc:personList>
</file>

<file path=xl/tables/table1.xml><?xml version="1.0" encoding="utf-8"?>
<table xmlns="http://schemas.openxmlformats.org/spreadsheetml/2006/main" ref="A1:AM217" displayName="Form_Responses1" name="Form_Responses1" id="1">
  <tableColumns count="39">
    <tableColumn name="Timestamp" id="1"/>
    <tableColumn name="Bus Owner Name" id="2"/>
    <tableColumn name="Address" id="3"/>
    <tableColumn name="Contact No." id="4"/>
    <tableColumn name="Company Name" id="5"/>
    <tableColumn name="Installed by" id="6"/>
    <tableColumn name="TYPE" id="7"/>
    <tableColumn name="Bus Route" id="8"/>
    <tableColumn name="kathmandu parking" id="9"/>
    <tableColumn name="destination parking" id="10"/>
    <tableColumn name="Ezviz Username" id="11"/>
    <tableColumn name="Ezviz Password" id="12"/>
    <tableColumn name="V. No." id="13"/>
    <tableColumn name="Camera Serial No." id="14"/>
    <tableColumn name="Verification Code" id="15"/>
    <tableColumn name="Device Serial No." id="16"/>
    <tableColumn name="ISP" id="17"/>
    <tableColumn name="Sim Serial No." id="18"/>
    <tableColumn name="sim no." id="19"/>
    <tableColumn name="PUK 1" id="20"/>
    <tableColumn name="PUK 2" id="21"/>
    <tableColumn name="Internet _x000a_Activation Date" id="22"/>
    <tableColumn name="Internet _x000a_Expiry Date" id="23"/>
    <tableColumn name="Internet _x000a_Package Type" id="24"/>
    <tableColumn name="STATUS" id="25"/>
    <tableColumn name="DAY LEFT" id="26"/>
    <tableColumn name="INTERNET EXPIRY" id="27"/>
    <tableColumn name="SSID Name" id="28"/>
    <tableColumn name="SSID Password" id="29"/>
    <tableColumn name="GPS Username" id="30"/>
    <tableColumn name="GPS Password" id="31"/>
    <tableColumn name="imei no." id="32"/>
    <tableColumn name="Remarks" id="33"/>
    <tableColumn name="staff number" id="34"/>
    <tableColumn name="PUK1" id="35"/>
    <tableColumn name="PUK2" id="36"/>
    <tableColumn name="time of data expiry" id="37"/>
    <tableColumn name="sim validity expiry date" id="38"/>
    <tableColumn name="Column 1" id="3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R225:U225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27:L230" displayName="Table_2" name="Table_2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orm Responses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R239:U239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Form Responses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56:I265" displayName="Table_4" name="Table_4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orm Responses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S262:U262" displayName="Table_5" name="Table_5" id="6">
  <tableColumns count="3">
    <tableColumn name="Column1" id="1"/>
    <tableColumn name="Column2" id="2"/>
    <tableColumn name="Column3" id="3"/>
  </tableColumns>
  <tableStyleInfo name="Form Responses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T266:AC269" displayName="Table_6" name="Table_6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 7" showColumnStripes="0" showFirstColumn="1" showLastColumn="1" showRowStripes="1"/>
</table>
</file>

<file path=xl/tables/table8.xml><?xml version="1.0" encoding="utf-8"?>
<table xmlns="http://schemas.openxmlformats.org/spreadsheetml/2006/main" headerRowCount="0" ref="R271:AA278" displayName="Table_7" name="Table_7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80:L280" displayName="Table_8" name="Table_8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orm Responses 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281:L281" displayName="Table_9" name="Table_9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orm Responses 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R284:V298" displayName="Table_10" name="Table_10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Form Responses 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S302:AC338" displayName="Table_11" name="Table_11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orm Responses 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309:O335" displayName="Table_12" name="Table_12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orm Responses 1-style 13" showColumnStripes="0" showFirstColumn="1" showLastColumn="1" showRowStripes="1"/>
</table>
</file>

<file path=xl/tables/table14.xml><?xml version="1.0" encoding="utf-8"?>
<table xmlns="http://schemas.openxmlformats.org/spreadsheetml/2006/main" ref="A1:H42" displayName="Table2" name="Table2" id="14">
  <tableColumns count="8">
    <tableColumn name="S.No." id="1"/>
    <tableColumn name="sim serial no." id="2"/>
    <tableColumn name="Column 1" id="3"/>
    <tableColumn name="puk1" id="4"/>
    <tableColumn name="puk2" id="5"/>
    <tableColumn name="bus detail" id="6"/>
    <tableColumn name="Column 8" id="7"/>
    <tableColumn name="data validity" id="8"/>
  </tableColumns>
  <tableStyleInfo name="sim serial no.-style" showColumnStripes="0" showFirstColumn="1" showLastColumn="1" showRowStripes="1"/>
</table>
</file>

<file path=xl/tables/table15.xml><?xml version="1.0" encoding="utf-8"?>
<table xmlns="http://schemas.openxmlformats.org/spreadsheetml/2006/main" ref="A1:J41" displayName="Table2_2" name="Table2_2" id="15">
  <tableColumns count="10">
    <tableColumn name="S.No." id="1"/>
    <tableColumn name="sim serial no." id="2"/>
    <tableColumn name="Column 1" id="3"/>
    <tableColumn name="pin 1" id="4"/>
    <tableColumn name="pin 2" id="5"/>
    <tableColumn name="puk1" id="6"/>
    <tableColumn name="puk2" id="7"/>
    <tableColumn name="bus detail" id="8"/>
    <tableColumn name="Column 8" id="9"/>
    <tableColumn name="data validity" id="10"/>
  </tableColumns>
  <tableStyleInfo name="ncell sim-style" showColumnStripes="0" showFirstColumn="1" showLastColumn="1" showRowStripes="1"/>
</table>
</file>

<file path=xl/tables/table16.xml><?xml version="1.0" encoding="utf-8"?>
<table xmlns="http://schemas.openxmlformats.org/spreadsheetml/2006/main" ref="A1:K58" displayName="Table1" name="Table1" id="16">
  <tableColumns count="11">
    <tableColumn name="SNO." id="1"/>
    <tableColumn name="DEVICE SERIAL NO." id="2"/>
    <tableColumn name="SIM SERIAL NO." id="3"/>
    <tableColumn name="MOBILE NO." id="4"/>
    <tableColumn name="PUK1" id="5"/>
    <tableColumn name="PUK2" id="6"/>
    <tableColumn name="ACTIVATED DATE" id="7"/>
    <tableColumn name="BUS NAME" id="8"/>
    <tableColumn name="BUS NO." id="9"/>
    <tableColumn name="Column 3" id="10"/>
    <tableColumn name="Column 4" id="11"/>
  </tableColumns>
  <tableStyleInfo name="NTC BIRGUNJ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" dT="2026-01-26T08:03:50.00" personId="{0712bd21-e15c-440c-af6d-372bc8eb4b81}" id="{7d792c65-12fc-48d4-be8d-1e6bc1b60f14}" done="0">
    <x18tc:text xml:space="preserve">sim card transferred to redhorse_2903</x18tc:text>
  </x18tc:threadedComment>
  <x18tc:threadedComment ref="S60" dT="2025-12-10T10:01:01.00" personId="{0712bd21-e15c-440c-af6d-372bc8eb4b81}" id="{dbf37084-ce3b-4362-b356-a15cef84d986}" done="0">
    <x18tc:text xml:space="preserve">internet cut 2025-12-10</x18tc:text>
  </x18tc:threadedComment>
  <x18tc:threadedComment ref="N300" dT="2025-12-15T06:05:05.00" personId="{0712bd21-e15c-440c-af6d-372bc8eb4b81}" id="{2a2ff8be-200f-4ab5-8220-2cde67ef6cbb}" done="0">
    <x18tc:text xml:space="preserve">camera installed at 2025-12-09</x18tc:text>
  </x18tc:threadedComment>
  <x18tc:threadedComment ref="T11" dT="2025-11-12T23:21:44.00" personId="{0712bd21-e15c-440c-af6d-372bc8eb4b81}" id="{88fc128b-40a9-4a46-b1bb-b7fa2a76fcf8}" done="0">
    <x18tc:text xml:space="preserve">puk no. invalid</x18tc:text>
  </x18tc:threadedComment>
  <x18tc:threadedComment ref="AA331" dT="2026-04-02T09:23:44.00" personId="{0712bd21-e15c-440c-af6d-372bc8eb4b81}" id="{01a300a8-d568-4b34-accd-92d7e2167cbe}" done="0">
    <x18tc:text xml:space="preserve">WIFI STOPED</x18tc:text>
  </x18tc:threadedComment>
  <x18tc:threadedComment ref="V221" dT="2026-02-25T15:05:10.00" personId="{0712bd21-e15c-440c-af6d-372bc8eb4b81}" id="{d9f489ce-a889-4d8a-a2ed-0149e0ff6040}" done="0">
    <x18tc:text xml:space="preserve">recharge only, no service</x18tc:text>
  </x18tc:threadedComment>
  <x18tc:threadedComment ref="V102" dT="2025-12-05T07:32:41.00" personId="{0712bd21-e15c-440c-af6d-372bc8eb4b81}" id="{fa3b10cc-51e9-4675-b816-7efbfc67cb7a}" done="0">
    <x18tc:text xml:space="preserve">2025-12-05 internet stopped</x18tc:text>
  </x18tc:threadedComment>
  <x18tc:threadedComment ref="X151" dT="2025-05-24T03:25:32.00" personId="{0712bd21-e15c-440c-af6d-372bc8eb4b81}" id="{b8acfef7-164f-4679-ac35-dd5f86f65ec6}" done="0">
    <x18tc:text xml:space="preserve">2 month done last 1 month remaining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21" Type="http://schemas.openxmlformats.org/officeDocument/2006/relationships/table" Target="../tables/table3.xml"/><Relationship Id="rId24" Type="http://schemas.openxmlformats.org/officeDocument/2006/relationships/table" Target="../tables/table6.xml"/><Relationship Id="rId23" Type="http://schemas.openxmlformats.org/officeDocument/2006/relationships/table" Target="../tables/table5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1.xml"/><Relationship Id="rId29" Type="http://schemas.openxmlformats.org/officeDocument/2006/relationships/table" Target="../tables/table1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4.0"/>
    <col customWidth="1" min="2" max="2" width="19.63"/>
    <col customWidth="1" hidden="1" min="3" max="3" width="14.0"/>
    <col customWidth="1" min="4" max="4" width="14.38"/>
    <col customWidth="1" min="5" max="5" width="21.0"/>
    <col customWidth="1" min="6" max="7" width="6.88"/>
    <col customWidth="1" min="8" max="8" width="25.0"/>
    <col customWidth="1" hidden="1" min="9" max="9" width="25.75"/>
    <col customWidth="1" hidden="1" min="10" max="10" width="20.0"/>
    <col customWidth="1" min="11" max="11" width="30.38"/>
    <col customWidth="1" min="12" max="12" width="17.13"/>
    <col customWidth="1" min="13" max="13" width="9.88"/>
    <col customWidth="1" min="14" max="14" width="18.75"/>
    <col customWidth="1" min="15" max="15" width="11.75"/>
    <col customWidth="1" min="16" max="16" width="18.25"/>
    <col customWidth="1" min="17" max="17" width="6.0"/>
    <col customWidth="1" min="18" max="18" width="21.0"/>
    <col customWidth="1" min="19" max="19" width="12.5"/>
    <col customWidth="1" min="20" max="21" width="10.63"/>
    <col customWidth="1" min="22" max="22" width="10.5"/>
    <col customWidth="1" min="23" max="23" width="14.0"/>
    <col customWidth="1" min="24" max="24" width="9.5"/>
    <col customWidth="1" min="25" max="25" width="13.13"/>
    <col customWidth="1" min="26" max="26" width="12.88"/>
    <col customWidth="1" min="27" max="27" width="13.13"/>
    <col customWidth="1" min="28" max="34" width="18.88"/>
    <col customWidth="1" hidden="1" min="35" max="36" width="18.88"/>
    <col customWidth="1" min="37" max="40" width="18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6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22.5" customHeight="1">
      <c r="A2" s="7">
        <v>66399.0</v>
      </c>
      <c r="B2" s="8" t="s">
        <v>39</v>
      </c>
      <c r="C2" s="8" t="s">
        <v>40</v>
      </c>
      <c r="D2" s="9">
        <v>9.851223012E9</v>
      </c>
      <c r="E2" s="8" t="s">
        <v>41</v>
      </c>
      <c r="F2" s="8" t="s">
        <v>42</v>
      </c>
      <c r="G2" s="8" t="s">
        <v>43</v>
      </c>
      <c r="H2" s="8" t="s">
        <v>44</v>
      </c>
      <c r="I2" s="9" t="s">
        <v>45</v>
      </c>
      <c r="J2" s="9"/>
      <c r="K2" s="9">
        <v>9.808830619E9</v>
      </c>
      <c r="L2" s="9" t="s">
        <v>46</v>
      </c>
      <c r="M2" s="8">
        <v>5857.0</v>
      </c>
      <c r="N2" s="8" t="s">
        <v>47</v>
      </c>
      <c r="O2" s="10"/>
      <c r="P2" s="8"/>
      <c r="Q2" s="8" t="s">
        <v>48</v>
      </c>
      <c r="R2" s="8" t="s">
        <v>49</v>
      </c>
      <c r="S2" s="8"/>
      <c r="T2" s="11">
        <v>9.4123078E7</v>
      </c>
      <c r="U2" s="11">
        <v>7.9731492E7</v>
      </c>
      <c r="V2" s="7">
        <v>45903.0</v>
      </c>
      <c r="W2" s="12">
        <f t="shared" ref="W2:W150" si="1">IF(V2="","",IF(X2="1 Month", V2+30,
IF(X2="1 Ncell", V2+28,
IF(X2="2 Ncell", V2+56,
IF(X2="3 Ncell", V2+84,
IF(X2="6 ncell", V2+168,
IF(X2="2 Month", V2+60,
IF(X2="3 Month", V2+90,
IF(X2="6 Month", V2+180,
IF(X2="1 Year", V2+365,""))))))))))
</f>
        <v>46083</v>
      </c>
      <c r="X2" s="8" t="s">
        <v>50</v>
      </c>
      <c r="Y2" s="7" t="str">
        <f t="shared" ref="Y2:Y338" si="2">IF(W2-TODAY()&gt;0, "Active", "Expired")</f>
        <v>Expired</v>
      </c>
      <c r="Z2" s="8">
        <f t="shared" ref="Z2:Z338" si="3">MAX(0,W2-TODAY())</f>
        <v>0</v>
      </c>
      <c r="AA2" s="7"/>
      <c r="AB2" s="8" t="s">
        <v>51</v>
      </c>
      <c r="AC2" s="8" t="s">
        <v>52</v>
      </c>
      <c r="AD2" s="8" t="s">
        <v>53</v>
      </c>
      <c r="AE2" s="8" t="s">
        <v>53</v>
      </c>
      <c r="AF2" s="10"/>
      <c r="AG2" s="8" t="s">
        <v>54</v>
      </c>
      <c r="AH2" s="10"/>
      <c r="AI2" s="8">
        <v>5.6071944E7</v>
      </c>
      <c r="AJ2" s="8">
        <v>1.7557247E7</v>
      </c>
      <c r="AK2" s="10"/>
      <c r="AL2" s="10"/>
      <c r="AM2" s="10"/>
    </row>
    <row r="3" ht="22.5" customHeight="1">
      <c r="A3" s="7">
        <v>66398.0</v>
      </c>
      <c r="B3" s="8" t="s">
        <v>55</v>
      </c>
      <c r="C3" s="8" t="s">
        <v>56</v>
      </c>
      <c r="D3" s="9">
        <v>9.847631631E9</v>
      </c>
      <c r="E3" s="8" t="s">
        <v>57</v>
      </c>
      <c r="F3" s="8" t="s">
        <v>42</v>
      </c>
      <c r="G3" s="8" t="s">
        <v>43</v>
      </c>
      <c r="H3" s="8" t="s">
        <v>58</v>
      </c>
      <c r="I3" s="9" t="s">
        <v>45</v>
      </c>
      <c r="J3" s="9"/>
      <c r="K3" s="9" t="s">
        <v>59</v>
      </c>
      <c r="L3" s="9" t="s">
        <v>60</v>
      </c>
      <c r="M3" s="8">
        <v>7334.0</v>
      </c>
      <c r="N3" s="8" t="s">
        <v>61</v>
      </c>
      <c r="O3" s="8" t="s">
        <v>53</v>
      </c>
      <c r="P3" s="13" t="s">
        <v>62</v>
      </c>
      <c r="Q3" s="13" t="s">
        <v>48</v>
      </c>
      <c r="S3" s="8">
        <v>9.76083097E9</v>
      </c>
      <c r="T3" s="8">
        <v>8.5071268E7</v>
      </c>
      <c r="U3" s="8"/>
      <c r="V3" s="7">
        <v>46001.0</v>
      </c>
      <c r="W3" s="12">
        <f t="shared" si="1"/>
        <v>46181</v>
      </c>
      <c r="X3" s="8" t="s">
        <v>63</v>
      </c>
      <c r="Y3" s="7" t="str">
        <f t="shared" si="2"/>
        <v>Active</v>
      </c>
      <c r="Z3" s="8">
        <f t="shared" si="3"/>
        <v>66</v>
      </c>
      <c r="AA3" s="14">
        <f>V3+180</f>
        <v>46181</v>
      </c>
      <c r="AB3" s="8" t="s">
        <v>64</v>
      </c>
      <c r="AC3" s="8" t="s">
        <v>65</v>
      </c>
      <c r="AD3" s="8" t="s">
        <v>53</v>
      </c>
      <c r="AE3" s="8" t="s">
        <v>53</v>
      </c>
      <c r="AF3" s="8" t="s">
        <v>53</v>
      </c>
      <c r="AG3" s="8" t="s">
        <v>66</v>
      </c>
      <c r="AH3" s="10"/>
      <c r="AI3" s="10"/>
      <c r="AJ3" s="10"/>
      <c r="AK3" s="10"/>
      <c r="AL3" s="10"/>
      <c r="AM3" s="10"/>
    </row>
    <row r="4" ht="22.5" customHeight="1">
      <c r="A4" s="7">
        <v>66398.0</v>
      </c>
      <c r="B4" s="8" t="s">
        <v>67</v>
      </c>
      <c r="C4" s="8" t="s">
        <v>68</v>
      </c>
      <c r="D4" s="9">
        <v>9.851319531E9</v>
      </c>
      <c r="E4" s="8" t="s">
        <v>69</v>
      </c>
      <c r="F4" s="8" t="s">
        <v>42</v>
      </c>
      <c r="G4" s="8" t="s">
        <v>43</v>
      </c>
      <c r="H4" s="8" t="s">
        <v>70</v>
      </c>
      <c r="I4" s="9" t="s">
        <v>45</v>
      </c>
      <c r="J4" s="9"/>
      <c r="K4" s="9">
        <v>9.851319531E9</v>
      </c>
      <c r="L4" s="9" t="s">
        <v>71</v>
      </c>
      <c r="M4" s="8">
        <v>24.0</v>
      </c>
      <c r="N4" s="8" t="s">
        <v>72</v>
      </c>
      <c r="O4" s="8" t="s">
        <v>73</v>
      </c>
      <c r="P4" s="8"/>
      <c r="Q4" s="8" t="s">
        <v>74</v>
      </c>
      <c r="R4" s="15" t="s">
        <v>75</v>
      </c>
      <c r="S4" s="16">
        <v>9.760843101E9</v>
      </c>
      <c r="T4" s="15">
        <v>1.1066176E7</v>
      </c>
      <c r="U4" s="15">
        <v>1.6287206E7</v>
      </c>
      <c r="V4" s="7">
        <v>45972.0</v>
      </c>
      <c r="W4" s="12">
        <f t="shared" si="1"/>
        <v>46337</v>
      </c>
      <c r="X4" s="8" t="s">
        <v>76</v>
      </c>
      <c r="Y4" s="7" t="str">
        <f t="shared" si="2"/>
        <v>Active</v>
      </c>
      <c r="Z4" s="8">
        <f t="shared" si="3"/>
        <v>222</v>
      </c>
      <c r="AA4" s="14">
        <f>V4+180</f>
        <v>46152</v>
      </c>
      <c r="AB4" s="8" t="s">
        <v>77</v>
      </c>
      <c r="AC4" s="8">
        <v>9.845303907E9</v>
      </c>
      <c r="AD4" s="8" t="s">
        <v>78</v>
      </c>
      <c r="AE4" s="8" t="s">
        <v>71</v>
      </c>
      <c r="AF4" s="8"/>
      <c r="AG4" s="8" t="s">
        <v>79</v>
      </c>
      <c r="AH4" s="10"/>
      <c r="AI4" s="10"/>
      <c r="AJ4" s="10"/>
      <c r="AK4" s="10"/>
      <c r="AL4" s="10"/>
      <c r="AM4" s="10"/>
    </row>
    <row r="5" ht="22.5" customHeight="1">
      <c r="A5" s="8" t="s">
        <v>80</v>
      </c>
      <c r="B5" s="8" t="s">
        <v>81</v>
      </c>
      <c r="C5" s="8" t="s">
        <v>68</v>
      </c>
      <c r="D5" s="9">
        <v>9.851245741E9</v>
      </c>
      <c r="E5" s="8" t="s">
        <v>69</v>
      </c>
      <c r="F5" s="8" t="s">
        <v>42</v>
      </c>
      <c r="G5" s="8" t="s">
        <v>43</v>
      </c>
      <c r="H5" s="8" t="s">
        <v>82</v>
      </c>
      <c r="I5" s="9" t="s">
        <v>45</v>
      </c>
      <c r="J5" s="9"/>
      <c r="K5" s="9">
        <v>9.851245741E9</v>
      </c>
      <c r="L5" s="9" t="s">
        <v>83</v>
      </c>
      <c r="M5" s="8">
        <v>25.0</v>
      </c>
      <c r="N5" s="8" t="s">
        <v>84</v>
      </c>
      <c r="O5" s="8" t="s">
        <v>85</v>
      </c>
      <c r="P5" s="8"/>
      <c r="Q5" s="8" t="s">
        <v>74</v>
      </c>
      <c r="R5" s="13" t="s">
        <v>86</v>
      </c>
      <c r="S5" s="17">
        <v>9.760844708E9</v>
      </c>
      <c r="T5" s="8">
        <v>2.1032281E7</v>
      </c>
      <c r="U5" s="8">
        <v>2.1485127E7</v>
      </c>
      <c r="V5" s="7">
        <v>46110.0</v>
      </c>
      <c r="W5" s="12">
        <f t="shared" si="1"/>
        <v>46170</v>
      </c>
      <c r="X5" s="8" t="s">
        <v>87</v>
      </c>
      <c r="Y5" s="7" t="str">
        <f t="shared" si="2"/>
        <v>Active</v>
      </c>
      <c r="Z5" s="8">
        <f t="shared" si="3"/>
        <v>55</v>
      </c>
      <c r="AA5" s="7">
        <v>46246.0</v>
      </c>
      <c r="AB5" s="8" t="s">
        <v>88</v>
      </c>
      <c r="AC5" s="8" t="s">
        <v>89</v>
      </c>
      <c r="AD5" s="8" t="s">
        <v>53</v>
      </c>
      <c r="AE5" s="8"/>
      <c r="AF5" s="8">
        <v>8.61128066870459E14</v>
      </c>
      <c r="AG5" s="8" t="s">
        <v>90</v>
      </c>
      <c r="AH5" s="10"/>
      <c r="AI5" s="8">
        <v>1.767102E7</v>
      </c>
      <c r="AJ5" s="8">
        <v>2.7987822E7</v>
      </c>
      <c r="AK5" s="10"/>
      <c r="AL5" s="10"/>
      <c r="AM5" s="10"/>
    </row>
    <row r="6" ht="22.5" customHeight="1">
      <c r="A6" s="8" t="s">
        <v>91</v>
      </c>
      <c r="B6" s="8" t="s">
        <v>92</v>
      </c>
      <c r="C6" s="8" t="s">
        <v>68</v>
      </c>
      <c r="D6" s="9">
        <v>9.860314444E9</v>
      </c>
      <c r="E6" s="8" t="s">
        <v>93</v>
      </c>
      <c r="F6" s="8" t="s">
        <v>42</v>
      </c>
      <c r="G6" s="8" t="s">
        <v>43</v>
      </c>
      <c r="H6" s="8" t="s">
        <v>82</v>
      </c>
      <c r="I6" s="9" t="s">
        <v>45</v>
      </c>
      <c r="J6" s="9"/>
      <c r="K6" s="9">
        <v>9.860314444E9</v>
      </c>
      <c r="L6" s="9" t="s">
        <v>94</v>
      </c>
      <c r="M6" s="8">
        <v>4243.0</v>
      </c>
      <c r="N6" s="8" t="s">
        <v>95</v>
      </c>
      <c r="O6" s="8" t="s">
        <v>96</v>
      </c>
      <c r="P6" s="8"/>
      <c r="Q6" s="8" t="s">
        <v>97</v>
      </c>
      <c r="R6" s="8"/>
      <c r="S6" s="8">
        <v>9.810262874E9</v>
      </c>
      <c r="T6" s="7"/>
      <c r="U6" s="7"/>
      <c r="V6" s="7">
        <v>46092.0</v>
      </c>
      <c r="W6" s="12">
        <f t="shared" si="1"/>
        <v>46120</v>
      </c>
      <c r="X6" s="8" t="s">
        <v>98</v>
      </c>
      <c r="Y6" s="7" t="str">
        <f t="shared" si="2"/>
        <v>Active</v>
      </c>
      <c r="Z6" s="8">
        <f t="shared" si="3"/>
        <v>5</v>
      </c>
      <c r="AA6" s="10"/>
      <c r="AB6" s="8" t="s">
        <v>99</v>
      </c>
      <c r="AC6" s="8">
        <v>9.860314444E9</v>
      </c>
      <c r="AD6" s="8" t="s">
        <v>53</v>
      </c>
      <c r="AE6" s="8" t="s">
        <v>53</v>
      </c>
      <c r="AF6" s="8" t="s">
        <v>53</v>
      </c>
      <c r="AG6" s="18" t="s">
        <v>100</v>
      </c>
      <c r="AH6" s="10"/>
      <c r="AI6" s="10"/>
      <c r="AJ6" s="10"/>
      <c r="AK6" s="10"/>
      <c r="AL6" s="10"/>
      <c r="AM6" s="10"/>
    </row>
    <row r="7" ht="22.5" customHeight="1">
      <c r="B7" s="13" t="s">
        <v>101</v>
      </c>
      <c r="D7" s="19">
        <v>9.846839274E9</v>
      </c>
      <c r="E7" s="13" t="s">
        <v>102</v>
      </c>
      <c r="F7" s="13"/>
      <c r="G7" s="13" t="s">
        <v>103</v>
      </c>
      <c r="H7" s="13" t="s">
        <v>70</v>
      </c>
      <c r="I7" s="20"/>
      <c r="J7" s="20"/>
      <c r="K7" s="20"/>
      <c r="L7" s="20"/>
      <c r="M7" s="13">
        <v>4242.0</v>
      </c>
      <c r="S7" s="21">
        <v>9.804179593E9</v>
      </c>
      <c r="T7" s="22"/>
      <c r="U7" s="22"/>
      <c r="V7" s="7">
        <v>46005.0</v>
      </c>
      <c r="W7" s="12">
        <f t="shared" si="1"/>
        <v>46033</v>
      </c>
      <c r="X7" s="8" t="s">
        <v>98</v>
      </c>
      <c r="Y7" s="7" t="str">
        <f t="shared" si="2"/>
        <v>Expired</v>
      </c>
      <c r="Z7" s="8">
        <f t="shared" si="3"/>
        <v>0</v>
      </c>
      <c r="AA7" s="22"/>
      <c r="AB7" s="8" t="s">
        <v>104</v>
      </c>
      <c r="AC7" s="8" t="s">
        <v>105</v>
      </c>
    </row>
    <row r="8" ht="22.5" customHeight="1">
      <c r="A8" s="8"/>
      <c r="B8" s="8" t="s">
        <v>106</v>
      </c>
      <c r="C8" s="8" t="s">
        <v>68</v>
      </c>
      <c r="D8" s="9">
        <v>9.858029829E9</v>
      </c>
      <c r="E8" s="8" t="s">
        <v>107</v>
      </c>
      <c r="F8" s="8" t="s">
        <v>42</v>
      </c>
      <c r="G8" s="8" t="s">
        <v>108</v>
      </c>
      <c r="H8" s="8" t="s">
        <v>70</v>
      </c>
      <c r="I8" s="9" t="s">
        <v>45</v>
      </c>
      <c r="J8" s="9"/>
      <c r="K8" s="9" t="s">
        <v>109</v>
      </c>
      <c r="L8" s="9" t="s">
        <v>110</v>
      </c>
      <c r="M8" s="8">
        <v>7302.0</v>
      </c>
      <c r="N8" s="8" t="s">
        <v>111</v>
      </c>
      <c r="O8" s="8"/>
      <c r="P8" s="8"/>
      <c r="Q8" s="8" t="s">
        <v>48</v>
      </c>
      <c r="R8" s="8" t="s">
        <v>112</v>
      </c>
      <c r="S8" s="8">
        <v>9.760843015E9</v>
      </c>
      <c r="T8" s="8">
        <v>2.0553699E7</v>
      </c>
      <c r="U8" s="8">
        <v>1.1876111E7</v>
      </c>
      <c r="V8" s="7">
        <v>46001.0</v>
      </c>
      <c r="W8" s="12">
        <f t="shared" si="1"/>
        <v>46181</v>
      </c>
      <c r="X8" s="8" t="s">
        <v>63</v>
      </c>
      <c r="Y8" s="7" t="str">
        <f t="shared" si="2"/>
        <v>Active</v>
      </c>
      <c r="Z8" s="8">
        <f t="shared" si="3"/>
        <v>66</v>
      </c>
      <c r="AA8" s="7">
        <v>46148.0</v>
      </c>
      <c r="AB8" s="8" t="s">
        <v>113</v>
      </c>
      <c r="AC8" s="8">
        <v>9.858029829E9</v>
      </c>
      <c r="AD8" s="8" t="s">
        <v>53</v>
      </c>
      <c r="AE8" s="8" t="s">
        <v>53</v>
      </c>
      <c r="AF8" s="8" t="s">
        <v>53</v>
      </c>
      <c r="AG8" s="8"/>
      <c r="AH8" s="10"/>
      <c r="AI8" s="8">
        <v>2.3147132E7</v>
      </c>
      <c r="AJ8" s="10"/>
      <c r="AK8" s="10"/>
      <c r="AL8" s="10"/>
      <c r="AM8" s="10"/>
    </row>
    <row r="9" ht="22.5" customHeight="1">
      <c r="A9" s="23"/>
      <c r="B9" s="8" t="s">
        <v>114</v>
      </c>
      <c r="C9" s="8"/>
      <c r="D9" s="9">
        <v>9.821048612E9</v>
      </c>
      <c r="E9" s="8" t="s">
        <v>107</v>
      </c>
      <c r="F9" s="8" t="s">
        <v>42</v>
      </c>
      <c r="G9" s="8" t="s">
        <v>108</v>
      </c>
      <c r="H9" s="8" t="s">
        <v>70</v>
      </c>
      <c r="I9" s="9"/>
      <c r="J9" s="9"/>
      <c r="K9" s="9"/>
      <c r="L9" s="9"/>
      <c r="M9" s="8">
        <v>7301.0</v>
      </c>
      <c r="N9" s="8"/>
      <c r="O9" s="8"/>
      <c r="P9" s="8"/>
      <c r="Q9" s="8" t="s">
        <v>48</v>
      </c>
      <c r="R9" s="8" t="s">
        <v>115</v>
      </c>
      <c r="S9" s="8">
        <v>9.760834979E9</v>
      </c>
      <c r="T9" s="8">
        <v>2.0860305E7</v>
      </c>
      <c r="U9" s="10"/>
      <c r="V9" s="7">
        <v>46103.0</v>
      </c>
      <c r="W9" s="12">
        <f t="shared" si="1"/>
        <v>46133</v>
      </c>
      <c r="X9" s="8" t="s">
        <v>116</v>
      </c>
      <c r="Y9" s="7" t="str">
        <f t="shared" si="2"/>
        <v>Active</v>
      </c>
      <c r="Z9" s="8">
        <f t="shared" si="3"/>
        <v>18</v>
      </c>
      <c r="AA9" s="7">
        <v>46283.0</v>
      </c>
      <c r="AB9" s="8" t="s">
        <v>117</v>
      </c>
      <c r="AC9" s="8"/>
      <c r="AD9" s="8"/>
      <c r="AE9" s="8"/>
      <c r="AF9" s="8"/>
      <c r="AG9" s="8"/>
      <c r="AH9" s="10"/>
      <c r="AI9" s="8"/>
      <c r="AJ9" s="10"/>
      <c r="AK9" s="24"/>
      <c r="AL9" s="10"/>
      <c r="AM9" s="10"/>
    </row>
    <row r="10" ht="22.5" customHeight="1">
      <c r="A10" s="23">
        <v>66335.0</v>
      </c>
      <c r="B10" s="8" t="s">
        <v>118</v>
      </c>
      <c r="C10" s="8" t="s">
        <v>119</v>
      </c>
      <c r="D10" s="9">
        <v>9.842025706E9</v>
      </c>
      <c r="E10" s="8" t="s">
        <v>120</v>
      </c>
      <c r="F10" s="8" t="s">
        <v>42</v>
      </c>
      <c r="G10" s="8" t="s">
        <v>103</v>
      </c>
      <c r="H10" s="8" t="s">
        <v>121</v>
      </c>
      <c r="I10" s="9" t="s">
        <v>45</v>
      </c>
      <c r="J10" s="9"/>
      <c r="K10" s="9">
        <v>9.842025706E9</v>
      </c>
      <c r="L10" s="9" t="s">
        <v>122</v>
      </c>
      <c r="M10" s="8">
        <v>655.0</v>
      </c>
      <c r="N10" s="8" t="s">
        <v>123</v>
      </c>
      <c r="O10" s="8" t="s">
        <v>124</v>
      </c>
      <c r="P10" s="8"/>
      <c r="Q10" s="8" t="s">
        <v>74</v>
      </c>
      <c r="R10" s="8" t="s">
        <v>125</v>
      </c>
      <c r="S10" s="8">
        <v>9.76083778E9</v>
      </c>
      <c r="T10" s="8">
        <v>1.158471E7</v>
      </c>
      <c r="U10" s="10"/>
      <c r="V10" s="7">
        <v>45803.0</v>
      </c>
      <c r="W10" s="12">
        <f t="shared" si="1"/>
        <v>46168</v>
      </c>
      <c r="X10" s="8" t="s">
        <v>76</v>
      </c>
      <c r="Y10" s="7" t="str">
        <f t="shared" si="2"/>
        <v>Active</v>
      </c>
      <c r="Z10" s="8">
        <f t="shared" si="3"/>
        <v>53</v>
      </c>
      <c r="AA10" s="7">
        <v>45983.0</v>
      </c>
      <c r="AB10" s="8" t="s">
        <v>126</v>
      </c>
      <c r="AC10" s="8" t="s">
        <v>127</v>
      </c>
      <c r="AD10" s="8" t="s">
        <v>53</v>
      </c>
      <c r="AE10" s="8" t="s">
        <v>53</v>
      </c>
      <c r="AF10" s="8" t="s">
        <v>53</v>
      </c>
      <c r="AG10" s="8"/>
      <c r="AH10" s="10"/>
      <c r="AI10" s="8">
        <v>1.158471E7</v>
      </c>
      <c r="AJ10" s="10"/>
      <c r="AK10" s="24">
        <v>0.5319444444444444</v>
      </c>
      <c r="AL10" s="10"/>
      <c r="AM10" s="10"/>
    </row>
    <row r="11" ht="22.5" customHeight="1">
      <c r="A11" s="23"/>
      <c r="B11" s="8" t="s">
        <v>128</v>
      </c>
      <c r="C11" s="8" t="s">
        <v>129</v>
      </c>
      <c r="D11" s="9">
        <v>9.813214768E9</v>
      </c>
      <c r="E11" s="8" t="s">
        <v>130</v>
      </c>
      <c r="F11" s="8" t="s">
        <v>42</v>
      </c>
      <c r="G11" s="8" t="s">
        <v>103</v>
      </c>
      <c r="H11" s="8" t="s">
        <v>131</v>
      </c>
      <c r="I11" s="9" t="s">
        <v>132</v>
      </c>
      <c r="J11" s="9"/>
      <c r="K11" s="9">
        <v>9.849328621E9</v>
      </c>
      <c r="L11" s="9" t="s">
        <v>133</v>
      </c>
      <c r="M11" s="8">
        <v>5693.0</v>
      </c>
      <c r="N11" s="8" t="s">
        <v>134</v>
      </c>
      <c r="O11" s="8" t="s">
        <v>135</v>
      </c>
      <c r="P11" s="8"/>
      <c r="Q11" s="8" t="s">
        <v>74</v>
      </c>
      <c r="R11" s="8" t="s">
        <v>136</v>
      </c>
      <c r="S11" s="8">
        <v>9.760837603E9</v>
      </c>
      <c r="T11" s="8">
        <v>1.8765303E7</v>
      </c>
      <c r="U11" s="8">
        <v>1.5699158E7</v>
      </c>
      <c r="V11" s="7">
        <v>46082.0</v>
      </c>
      <c r="W11" s="12">
        <f t="shared" si="1"/>
        <v>46112</v>
      </c>
      <c r="X11" s="8" t="s">
        <v>137</v>
      </c>
      <c r="Y11" s="7" t="str">
        <f t="shared" si="2"/>
        <v>Expired</v>
      </c>
      <c r="Z11" s="8">
        <f t="shared" si="3"/>
        <v>0</v>
      </c>
      <c r="AA11" s="7">
        <v>46269.0</v>
      </c>
      <c r="AB11" s="8" t="s">
        <v>138</v>
      </c>
      <c r="AC11" s="8" t="s">
        <v>139</v>
      </c>
      <c r="AD11" s="8" t="s">
        <v>53</v>
      </c>
      <c r="AE11" s="8" t="s">
        <v>53</v>
      </c>
      <c r="AF11" s="8" t="s">
        <v>53</v>
      </c>
      <c r="AG11" s="8" t="s">
        <v>140</v>
      </c>
      <c r="AH11" s="8">
        <v>9.841259931E9</v>
      </c>
      <c r="AI11" s="8" t="s">
        <v>141</v>
      </c>
      <c r="AJ11" s="8" t="s">
        <v>142</v>
      </c>
      <c r="AK11" s="10"/>
      <c r="AL11" s="10"/>
      <c r="AM11" s="10"/>
    </row>
    <row r="12" ht="22.5" customHeight="1">
      <c r="A12" s="23"/>
      <c r="B12" s="8" t="s">
        <v>143</v>
      </c>
      <c r="C12" s="8" t="s">
        <v>68</v>
      </c>
      <c r="D12" s="9">
        <v>9.801376065E9</v>
      </c>
      <c r="E12" s="8" t="s">
        <v>69</v>
      </c>
      <c r="F12" s="8" t="s">
        <v>42</v>
      </c>
      <c r="G12" s="8" t="s">
        <v>144</v>
      </c>
      <c r="H12" s="8" t="s">
        <v>145</v>
      </c>
      <c r="I12" s="9" t="s">
        <v>45</v>
      </c>
      <c r="J12" s="9"/>
      <c r="K12" s="9">
        <v>9.801376065E9</v>
      </c>
      <c r="L12" s="9" t="s">
        <v>146</v>
      </c>
      <c r="M12" s="8">
        <v>81.0</v>
      </c>
      <c r="N12" s="8" t="s">
        <v>147</v>
      </c>
      <c r="O12" s="8" t="s">
        <v>148</v>
      </c>
      <c r="P12" s="8"/>
      <c r="Q12" s="8" t="s">
        <v>74</v>
      </c>
      <c r="R12" s="8" t="s">
        <v>149</v>
      </c>
      <c r="S12" s="8">
        <v>9.760843818E9</v>
      </c>
      <c r="T12" s="8">
        <v>3.2552255E7</v>
      </c>
      <c r="U12" s="8">
        <v>1.3807551E7</v>
      </c>
      <c r="V12" s="7">
        <v>46019.0</v>
      </c>
      <c r="W12" s="12">
        <f t="shared" si="1"/>
        <v>46109</v>
      </c>
      <c r="X12" s="8" t="s">
        <v>150</v>
      </c>
      <c r="Y12" s="7" t="str">
        <f t="shared" si="2"/>
        <v>Expired</v>
      </c>
      <c r="Z12" s="8">
        <f t="shared" si="3"/>
        <v>0</v>
      </c>
      <c r="AA12" s="7">
        <v>46166.0</v>
      </c>
      <c r="AB12" s="8" t="s">
        <v>151</v>
      </c>
      <c r="AC12" s="8">
        <v>9.801376065E9</v>
      </c>
      <c r="AD12" s="8" t="s">
        <v>53</v>
      </c>
      <c r="AE12" s="8" t="s">
        <v>53</v>
      </c>
      <c r="AF12" s="8" t="s">
        <v>53</v>
      </c>
      <c r="AG12" s="8" t="s">
        <v>152</v>
      </c>
      <c r="AH12" s="10"/>
      <c r="AI12" s="8">
        <v>3.0841127E7</v>
      </c>
      <c r="AJ12" s="8">
        <v>2.2495257E7</v>
      </c>
      <c r="AK12" s="10"/>
      <c r="AL12" s="10"/>
      <c r="AM12" s="10"/>
    </row>
    <row r="13" ht="22.5" customHeight="1">
      <c r="A13" s="23">
        <v>45618.0</v>
      </c>
      <c r="B13" s="8" t="s">
        <v>153</v>
      </c>
      <c r="C13" s="8" t="s">
        <v>68</v>
      </c>
      <c r="D13" s="9">
        <v>9.851071144E9</v>
      </c>
      <c r="E13" s="8" t="s">
        <v>154</v>
      </c>
      <c r="F13" s="8" t="s">
        <v>42</v>
      </c>
      <c r="G13" s="8" t="s">
        <v>103</v>
      </c>
      <c r="H13" s="8" t="s">
        <v>155</v>
      </c>
      <c r="I13" s="9" t="s">
        <v>45</v>
      </c>
      <c r="J13" s="9"/>
      <c r="K13" s="9">
        <v>9.851071144E9</v>
      </c>
      <c r="L13" s="9" t="s">
        <v>156</v>
      </c>
      <c r="M13" s="8">
        <v>4159.0</v>
      </c>
      <c r="N13" s="8" t="s">
        <v>157</v>
      </c>
      <c r="O13" s="8" t="s">
        <v>158</v>
      </c>
      <c r="P13" s="8"/>
      <c r="Q13" s="8" t="s">
        <v>97</v>
      </c>
      <c r="R13" s="8"/>
      <c r="S13" s="8">
        <v>9.813743407E9</v>
      </c>
      <c r="T13" s="7"/>
      <c r="U13" s="7"/>
      <c r="V13" s="7">
        <v>46062.0</v>
      </c>
      <c r="W13" s="12">
        <f t="shared" si="1"/>
        <v>46118</v>
      </c>
      <c r="X13" s="8" t="s">
        <v>159</v>
      </c>
      <c r="Y13" s="7" t="str">
        <f t="shared" si="2"/>
        <v>Active</v>
      </c>
      <c r="Z13" s="8">
        <f t="shared" si="3"/>
        <v>3</v>
      </c>
      <c r="AA13" s="7">
        <v>46118.0</v>
      </c>
      <c r="AB13" s="8" t="s">
        <v>160</v>
      </c>
      <c r="AC13" s="8">
        <v>9.829691422E9</v>
      </c>
      <c r="AD13" s="8" t="s">
        <v>53</v>
      </c>
      <c r="AE13" s="8" t="s">
        <v>53</v>
      </c>
      <c r="AF13" s="8" t="s">
        <v>53</v>
      </c>
      <c r="AG13" s="8" t="s">
        <v>161</v>
      </c>
      <c r="AH13" s="10"/>
      <c r="AI13" s="8">
        <v>2.6628249E7</v>
      </c>
      <c r="AJ13" s="8">
        <v>2.9089114E7</v>
      </c>
      <c r="AK13" s="10"/>
      <c r="AL13" s="10"/>
      <c r="AM13" s="10"/>
    </row>
    <row r="14" ht="22.5" customHeight="1">
      <c r="A14" s="25">
        <v>45598.0</v>
      </c>
      <c r="B14" s="13" t="s">
        <v>162</v>
      </c>
      <c r="C14" s="13" t="s">
        <v>40</v>
      </c>
      <c r="D14" s="19">
        <v>9.866478287E9</v>
      </c>
      <c r="E14" s="13" t="s">
        <v>163</v>
      </c>
      <c r="F14" s="8" t="s">
        <v>42</v>
      </c>
      <c r="G14" s="13" t="s">
        <v>103</v>
      </c>
      <c r="H14" s="13" t="s">
        <v>164</v>
      </c>
      <c r="I14" s="9" t="s">
        <v>45</v>
      </c>
      <c r="J14" s="19"/>
      <c r="K14" s="19">
        <v>9.866478287E9</v>
      </c>
      <c r="L14" s="19" t="s">
        <v>165</v>
      </c>
      <c r="M14" s="13">
        <v>5235.0</v>
      </c>
      <c r="N14" s="13" t="s">
        <v>166</v>
      </c>
      <c r="O14" s="13" t="s">
        <v>167</v>
      </c>
      <c r="P14" s="13"/>
      <c r="Q14" s="13" t="s">
        <v>74</v>
      </c>
      <c r="R14" s="8" t="s">
        <v>168</v>
      </c>
      <c r="S14" s="17">
        <v>9.760845115E9</v>
      </c>
      <c r="T14" s="8">
        <v>5.2572442E7</v>
      </c>
      <c r="U14" s="8">
        <v>3.3872978E7</v>
      </c>
      <c r="V14" s="26">
        <v>46102.0</v>
      </c>
      <c r="W14" s="12">
        <f t="shared" si="1"/>
        <v>46132</v>
      </c>
      <c r="X14" s="13" t="s">
        <v>137</v>
      </c>
      <c r="Y14" s="7" t="str">
        <f t="shared" si="2"/>
        <v>Active</v>
      </c>
      <c r="Z14" s="8">
        <f t="shared" si="3"/>
        <v>17</v>
      </c>
      <c r="AA14" s="26">
        <v>46162.0</v>
      </c>
      <c r="AB14" s="13" t="s">
        <v>169</v>
      </c>
      <c r="AC14" s="13">
        <v>5.2355236E7</v>
      </c>
      <c r="AD14" s="13" t="s">
        <v>53</v>
      </c>
      <c r="AE14" s="13"/>
      <c r="AF14" s="13"/>
      <c r="AG14" s="13"/>
      <c r="AI14" s="13">
        <v>2.9090132E7</v>
      </c>
      <c r="AJ14" s="13">
        <v>9.5942575E7</v>
      </c>
    </row>
    <row r="15" ht="22.5" customHeight="1">
      <c r="A15" s="23"/>
      <c r="B15" s="8" t="s">
        <v>162</v>
      </c>
      <c r="C15" s="8" t="s">
        <v>40</v>
      </c>
      <c r="D15" s="9">
        <v>9.866478287E9</v>
      </c>
      <c r="E15" s="13" t="s">
        <v>163</v>
      </c>
      <c r="F15" s="8" t="s">
        <v>42</v>
      </c>
      <c r="G15" s="8" t="s">
        <v>103</v>
      </c>
      <c r="H15" s="8" t="s">
        <v>164</v>
      </c>
      <c r="I15" s="9" t="s">
        <v>45</v>
      </c>
      <c r="J15" s="9"/>
      <c r="K15" s="9">
        <v>9.866478287E9</v>
      </c>
      <c r="L15" s="9" t="s">
        <v>165</v>
      </c>
      <c r="M15" s="8">
        <v>5236.0</v>
      </c>
      <c r="N15" s="8"/>
      <c r="O15" s="8"/>
      <c r="P15" s="8"/>
      <c r="Q15" s="8" t="s">
        <v>74</v>
      </c>
      <c r="R15" s="13" t="s">
        <v>170</v>
      </c>
      <c r="S15" s="8">
        <v>9.76083917E9</v>
      </c>
      <c r="T15" s="13">
        <v>2.9814831E7</v>
      </c>
      <c r="U15" s="13">
        <v>3.930262E7</v>
      </c>
      <c r="V15" s="26">
        <v>46102.0</v>
      </c>
      <c r="W15" s="12">
        <f t="shared" si="1"/>
        <v>46132</v>
      </c>
      <c r="X15" s="8" t="s">
        <v>137</v>
      </c>
      <c r="Y15" s="7" t="str">
        <f t="shared" si="2"/>
        <v>Active</v>
      </c>
      <c r="Z15" s="8">
        <f t="shared" si="3"/>
        <v>17</v>
      </c>
      <c r="AA15" s="7">
        <v>46243.0</v>
      </c>
      <c r="AB15" s="8" t="s">
        <v>171</v>
      </c>
      <c r="AC15" s="8">
        <v>5.2355236E7</v>
      </c>
      <c r="AD15" s="8" t="s">
        <v>53</v>
      </c>
      <c r="AE15" s="8"/>
      <c r="AF15" s="8"/>
      <c r="AG15" s="8"/>
      <c r="AH15" s="10"/>
      <c r="AI15" s="8">
        <v>2.4531542E7</v>
      </c>
      <c r="AJ15" s="8">
        <v>5.4144374E7</v>
      </c>
      <c r="AK15" s="10"/>
      <c r="AL15" s="10"/>
      <c r="AM15" s="10"/>
    </row>
    <row r="16" ht="22.5" customHeight="1">
      <c r="A16" s="23"/>
      <c r="B16" s="8" t="s">
        <v>172</v>
      </c>
      <c r="C16" s="8" t="s">
        <v>173</v>
      </c>
      <c r="D16" s="9">
        <v>9.825140588E9</v>
      </c>
      <c r="E16" s="8" t="s">
        <v>174</v>
      </c>
      <c r="F16" s="8" t="s">
        <v>42</v>
      </c>
      <c r="G16" s="8" t="s">
        <v>103</v>
      </c>
      <c r="H16" s="8" t="s">
        <v>175</v>
      </c>
      <c r="I16" s="9" t="s">
        <v>176</v>
      </c>
      <c r="J16" s="9"/>
      <c r="K16" s="9"/>
      <c r="L16" s="9"/>
      <c r="M16" s="8">
        <v>310.0</v>
      </c>
      <c r="N16" s="8"/>
      <c r="O16" s="8"/>
      <c r="P16" s="8"/>
      <c r="Q16" s="8" t="s">
        <v>48</v>
      </c>
      <c r="R16" s="8" t="s">
        <v>177</v>
      </c>
      <c r="S16" s="8">
        <v>9.706837598E9</v>
      </c>
      <c r="T16" s="10"/>
      <c r="U16" s="10"/>
      <c r="V16" s="7">
        <v>45691.0</v>
      </c>
      <c r="W16" s="12">
        <f t="shared" si="1"/>
        <v>45871</v>
      </c>
      <c r="X16" s="8" t="s">
        <v>63</v>
      </c>
      <c r="Y16" s="7" t="str">
        <f t="shared" si="2"/>
        <v>Expired</v>
      </c>
      <c r="Z16" s="8">
        <f t="shared" si="3"/>
        <v>0</v>
      </c>
      <c r="AA16" s="10"/>
      <c r="AB16" s="8" t="s">
        <v>178</v>
      </c>
      <c r="AC16" s="8"/>
      <c r="AD16" s="8"/>
      <c r="AE16" s="8"/>
      <c r="AF16" s="8"/>
      <c r="AG16" s="8"/>
      <c r="AH16" s="10"/>
      <c r="AI16" s="10"/>
      <c r="AJ16" s="10"/>
      <c r="AK16" s="10"/>
      <c r="AL16" s="10"/>
      <c r="AM16" s="10"/>
    </row>
    <row r="17" ht="22.5" customHeight="1">
      <c r="A17" s="23"/>
      <c r="B17" s="8" t="s">
        <v>172</v>
      </c>
      <c r="C17" s="8" t="s">
        <v>173</v>
      </c>
      <c r="D17" s="9">
        <v>9.825140588E9</v>
      </c>
      <c r="E17" s="8" t="s">
        <v>174</v>
      </c>
      <c r="F17" s="8" t="s">
        <v>42</v>
      </c>
      <c r="G17" s="8" t="s">
        <v>103</v>
      </c>
      <c r="H17" s="8" t="s">
        <v>175</v>
      </c>
      <c r="I17" s="9" t="s">
        <v>176</v>
      </c>
      <c r="J17" s="9"/>
      <c r="K17" s="9"/>
      <c r="L17" s="9"/>
      <c r="M17" s="8">
        <v>1797.0</v>
      </c>
      <c r="N17" s="8"/>
      <c r="O17" s="8"/>
      <c r="P17" s="8"/>
      <c r="Q17" s="8" t="s">
        <v>48</v>
      </c>
      <c r="R17" s="8"/>
      <c r="S17" s="8">
        <v>9.760837509E9</v>
      </c>
      <c r="T17" s="8">
        <v>6.5346082E7</v>
      </c>
      <c r="U17" s="10"/>
      <c r="V17" s="7">
        <v>45788.0</v>
      </c>
      <c r="W17" s="12">
        <f t="shared" si="1"/>
        <v>45968</v>
      </c>
      <c r="X17" s="8" t="s">
        <v>63</v>
      </c>
      <c r="Y17" s="7" t="str">
        <f t="shared" si="2"/>
        <v>Expired</v>
      </c>
      <c r="Z17" s="8">
        <f t="shared" si="3"/>
        <v>0</v>
      </c>
      <c r="AA17" s="10"/>
      <c r="AB17" s="8" t="s">
        <v>179</v>
      </c>
      <c r="AC17" s="8" t="s">
        <v>180</v>
      </c>
      <c r="AD17" s="8"/>
      <c r="AE17" s="8"/>
      <c r="AF17" s="8"/>
      <c r="AG17" s="8"/>
      <c r="AH17" s="10"/>
      <c r="AI17" s="8">
        <v>6.5346082E7</v>
      </c>
      <c r="AJ17" s="10"/>
      <c r="AK17" s="24">
        <v>0.6944444444444444</v>
      </c>
      <c r="AL17" s="10"/>
      <c r="AM17" s="10"/>
    </row>
    <row r="18" ht="22.5" customHeight="1">
      <c r="A18" s="23"/>
      <c r="B18" s="8" t="s">
        <v>172</v>
      </c>
      <c r="C18" s="8" t="s">
        <v>173</v>
      </c>
      <c r="D18" s="9">
        <v>9.825140588E9</v>
      </c>
      <c r="E18" s="8" t="s">
        <v>174</v>
      </c>
      <c r="F18" s="8" t="s">
        <v>42</v>
      </c>
      <c r="G18" s="8" t="s">
        <v>103</v>
      </c>
      <c r="H18" s="8" t="s">
        <v>175</v>
      </c>
      <c r="I18" s="9" t="s">
        <v>176</v>
      </c>
      <c r="J18" s="9"/>
      <c r="K18" s="9"/>
      <c r="L18" s="9"/>
      <c r="M18" s="8">
        <v>1796.0</v>
      </c>
      <c r="N18" s="8"/>
      <c r="O18" s="8"/>
      <c r="P18" s="8"/>
      <c r="Q18" s="8" t="s">
        <v>48</v>
      </c>
      <c r="R18" s="8" t="s">
        <v>181</v>
      </c>
      <c r="S18" s="8">
        <v>9.760835258E9</v>
      </c>
      <c r="T18" s="8">
        <v>2.1703661E7</v>
      </c>
      <c r="U18" s="10"/>
      <c r="V18" s="7">
        <v>45788.0</v>
      </c>
      <c r="W18" s="12">
        <f t="shared" si="1"/>
        <v>45968</v>
      </c>
      <c r="X18" s="8" t="s">
        <v>63</v>
      </c>
      <c r="Y18" s="7" t="str">
        <f t="shared" si="2"/>
        <v>Expired</v>
      </c>
      <c r="Z18" s="8">
        <f t="shared" si="3"/>
        <v>0</v>
      </c>
      <c r="AA18" s="7"/>
      <c r="AB18" s="8" t="s">
        <v>182</v>
      </c>
      <c r="AC18" s="8" t="s">
        <v>183</v>
      </c>
      <c r="AD18" s="8"/>
      <c r="AE18" s="8"/>
      <c r="AF18" s="8"/>
      <c r="AG18" s="8"/>
      <c r="AH18" s="10"/>
      <c r="AI18" s="8">
        <v>2.1703661E7</v>
      </c>
      <c r="AJ18" s="10"/>
      <c r="AK18" s="24">
        <v>0.7430555555555556</v>
      </c>
      <c r="AL18" s="10"/>
      <c r="AM18" s="10"/>
    </row>
    <row r="19" ht="22.5" customHeight="1">
      <c r="A19" s="25">
        <v>45516.0</v>
      </c>
      <c r="B19" s="13" t="s">
        <v>184</v>
      </c>
      <c r="C19" s="13" t="s">
        <v>185</v>
      </c>
      <c r="D19" s="19">
        <v>9.80357726E9</v>
      </c>
      <c r="E19" s="13" t="s">
        <v>186</v>
      </c>
      <c r="F19" s="8" t="s">
        <v>42</v>
      </c>
      <c r="G19" s="13" t="s">
        <v>103</v>
      </c>
      <c r="H19" s="13" t="s">
        <v>187</v>
      </c>
      <c r="I19" s="19" t="s">
        <v>45</v>
      </c>
      <c r="J19" s="19"/>
      <c r="K19" s="19">
        <v>9.80357726E9</v>
      </c>
      <c r="L19" s="19" t="s">
        <v>188</v>
      </c>
      <c r="M19" s="13">
        <v>7024.0</v>
      </c>
      <c r="N19" s="13" t="s">
        <v>189</v>
      </c>
      <c r="O19" s="13" t="s">
        <v>190</v>
      </c>
      <c r="P19" s="13"/>
      <c r="Q19" s="13" t="s">
        <v>48</v>
      </c>
      <c r="R19" s="13" t="s">
        <v>191</v>
      </c>
      <c r="S19" s="13"/>
      <c r="V19" s="26"/>
      <c r="W19" s="27" t="str">
        <f t="shared" si="1"/>
        <v/>
      </c>
      <c r="X19" s="8" t="s">
        <v>63</v>
      </c>
      <c r="Y19" s="7" t="str">
        <f t="shared" si="2"/>
        <v>Expired</v>
      </c>
      <c r="Z19" s="8">
        <f t="shared" si="3"/>
        <v>0</v>
      </c>
      <c r="AB19" s="13" t="s">
        <v>192</v>
      </c>
      <c r="AC19" s="13">
        <v>9.80357726E9</v>
      </c>
      <c r="AD19" s="13" t="s">
        <v>53</v>
      </c>
      <c r="AE19" s="13" t="s">
        <v>53</v>
      </c>
      <c r="AF19" s="13" t="s">
        <v>53</v>
      </c>
      <c r="AG19" s="13" t="s">
        <v>193</v>
      </c>
    </row>
    <row r="20" ht="22.5" customHeight="1">
      <c r="A20" s="25">
        <v>45701.0</v>
      </c>
      <c r="B20" s="13" t="s">
        <v>194</v>
      </c>
      <c r="C20" s="13" t="s">
        <v>195</v>
      </c>
      <c r="D20" s="19">
        <v>9.855046101E9</v>
      </c>
      <c r="E20" s="13" t="s">
        <v>196</v>
      </c>
      <c r="F20" s="8" t="s">
        <v>42</v>
      </c>
      <c r="G20" s="13" t="s">
        <v>103</v>
      </c>
      <c r="H20" s="13" t="s">
        <v>197</v>
      </c>
      <c r="I20" s="19" t="s">
        <v>198</v>
      </c>
      <c r="J20" s="19" t="s">
        <v>199</v>
      </c>
      <c r="K20" s="19">
        <v>9.766259372E9</v>
      </c>
      <c r="L20" s="19" t="s">
        <v>200</v>
      </c>
      <c r="M20" s="13">
        <v>172.0</v>
      </c>
      <c r="N20" s="13" t="s">
        <v>201</v>
      </c>
      <c r="O20" s="13" t="s">
        <v>202</v>
      </c>
      <c r="P20" s="13"/>
      <c r="Q20" s="13" t="s">
        <v>48</v>
      </c>
      <c r="R20" s="13" t="s">
        <v>203</v>
      </c>
      <c r="T20" s="13">
        <v>1.6258111E7</v>
      </c>
      <c r="V20" s="26"/>
      <c r="W20" s="27" t="str">
        <f t="shared" si="1"/>
        <v/>
      </c>
      <c r="X20" s="13" t="s">
        <v>63</v>
      </c>
      <c r="Y20" s="7" t="str">
        <f t="shared" si="2"/>
        <v>Expired</v>
      </c>
      <c r="Z20" s="8">
        <f t="shared" si="3"/>
        <v>0</v>
      </c>
      <c r="AB20" s="13" t="s">
        <v>204</v>
      </c>
      <c r="AC20" s="13">
        <v>9.847270874E9</v>
      </c>
      <c r="AD20" s="13" t="s">
        <v>205</v>
      </c>
      <c r="AE20" s="13" t="s">
        <v>206</v>
      </c>
      <c r="AF20" s="13">
        <v>8.61128066875037E14</v>
      </c>
      <c r="AG20" s="13"/>
    </row>
    <row r="21" ht="22.5" customHeight="1">
      <c r="A21" s="8" t="s">
        <v>207</v>
      </c>
      <c r="B21" s="8" t="s">
        <v>208</v>
      </c>
      <c r="C21" s="8" t="s">
        <v>195</v>
      </c>
      <c r="D21" s="9">
        <v>9.855084555E9</v>
      </c>
      <c r="E21" s="8" t="s">
        <v>209</v>
      </c>
      <c r="F21" s="8" t="s">
        <v>42</v>
      </c>
      <c r="G21" s="8" t="s">
        <v>103</v>
      </c>
      <c r="H21" s="8" t="s">
        <v>210</v>
      </c>
      <c r="I21" s="19" t="s">
        <v>198</v>
      </c>
      <c r="J21" s="9"/>
      <c r="K21" s="9" t="s">
        <v>211</v>
      </c>
      <c r="L21" s="9" t="s">
        <v>212</v>
      </c>
      <c r="M21" s="8">
        <v>1812.0</v>
      </c>
      <c r="N21" s="8"/>
      <c r="O21" s="8"/>
      <c r="P21" s="8"/>
      <c r="Q21" s="8" t="s">
        <v>48</v>
      </c>
      <c r="R21" s="8" t="s">
        <v>213</v>
      </c>
      <c r="S21" s="8" t="s">
        <v>214</v>
      </c>
      <c r="T21" s="8">
        <v>2.357029E7</v>
      </c>
      <c r="U21" s="8"/>
      <c r="V21" s="7">
        <v>46111.0</v>
      </c>
      <c r="W21" s="12">
        <f t="shared" si="1"/>
        <v>46141</v>
      </c>
      <c r="X21" s="13" t="s">
        <v>215</v>
      </c>
      <c r="Y21" s="7" t="str">
        <f t="shared" si="2"/>
        <v>Active</v>
      </c>
      <c r="Z21" s="8">
        <f t="shared" si="3"/>
        <v>26</v>
      </c>
      <c r="AA21" s="8" t="s">
        <v>216</v>
      </c>
      <c r="AB21" s="8" t="s">
        <v>217</v>
      </c>
      <c r="AC21" s="8">
        <v>9.855084555E9</v>
      </c>
      <c r="AD21" s="8" t="s">
        <v>211</v>
      </c>
      <c r="AE21" s="8"/>
      <c r="AF21" s="8">
        <v>8.61128066883957E14</v>
      </c>
      <c r="AG21" s="8"/>
      <c r="AH21" s="10"/>
      <c r="AI21" s="10"/>
      <c r="AJ21" s="10"/>
      <c r="AK21" s="10"/>
      <c r="AL21" s="10"/>
      <c r="AM21" s="10"/>
    </row>
    <row r="22" ht="22.5" customHeight="1">
      <c r="A22" s="8"/>
      <c r="B22" s="8" t="s">
        <v>218</v>
      </c>
      <c r="C22" s="8" t="s">
        <v>40</v>
      </c>
      <c r="D22" s="9">
        <v>9.851184644E9</v>
      </c>
      <c r="E22" s="8" t="s">
        <v>219</v>
      </c>
      <c r="F22" s="8" t="s">
        <v>42</v>
      </c>
      <c r="G22" s="8" t="s">
        <v>103</v>
      </c>
      <c r="H22" s="8" t="s">
        <v>220</v>
      </c>
      <c r="I22" s="9" t="s">
        <v>221</v>
      </c>
      <c r="J22" s="9"/>
      <c r="K22" s="9" t="s">
        <v>222</v>
      </c>
      <c r="L22" s="9" t="s">
        <v>223</v>
      </c>
      <c r="M22" s="8">
        <v>9469.0</v>
      </c>
      <c r="N22" s="8" t="s">
        <v>224</v>
      </c>
      <c r="O22" s="8" t="s">
        <v>225</v>
      </c>
      <c r="P22" s="8"/>
      <c r="Q22" s="8" t="s">
        <v>48</v>
      </c>
      <c r="R22" s="8" t="s">
        <v>226</v>
      </c>
      <c r="S22" s="8">
        <v>9.760834997E9</v>
      </c>
      <c r="T22" s="8">
        <v>2.5767157E7</v>
      </c>
      <c r="U22" s="10"/>
      <c r="V22" s="7">
        <v>45702.0</v>
      </c>
      <c r="W22" s="12">
        <f t="shared" si="1"/>
        <v>45882</v>
      </c>
      <c r="X22" s="13" t="s">
        <v>63</v>
      </c>
      <c r="Y22" s="7" t="str">
        <f t="shared" si="2"/>
        <v>Expired</v>
      </c>
      <c r="Z22" s="8">
        <f t="shared" si="3"/>
        <v>0</v>
      </c>
      <c r="AA22" s="10"/>
      <c r="AB22" s="8" t="s">
        <v>227</v>
      </c>
      <c r="AC22" s="8" t="s">
        <v>228</v>
      </c>
      <c r="AD22" s="8" t="s">
        <v>53</v>
      </c>
      <c r="AE22" s="8" t="s">
        <v>53</v>
      </c>
      <c r="AF22" s="8" t="s">
        <v>53</v>
      </c>
      <c r="AG22" s="8"/>
      <c r="AH22" s="10"/>
      <c r="AI22" s="10"/>
      <c r="AJ22" s="10"/>
      <c r="AK22" s="10"/>
      <c r="AL22" s="10"/>
      <c r="AM22" s="10"/>
    </row>
    <row r="23" ht="22.5" customHeight="1">
      <c r="A23" s="26">
        <v>45704.0</v>
      </c>
      <c r="B23" s="13" t="s">
        <v>229</v>
      </c>
      <c r="C23" s="13" t="s">
        <v>230</v>
      </c>
      <c r="D23" s="13">
        <v>9.814875375E9</v>
      </c>
      <c r="E23" s="13" t="s">
        <v>231</v>
      </c>
      <c r="F23" s="8" t="s">
        <v>42</v>
      </c>
      <c r="G23" s="13" t="s">
        <v>103</v>
      </c>
      <c r="H23" s="13" t="s">
        <v>232</v>
      </c>
      <c r="I23" s="19" t="s">
        <v>233</v>
      </c>
      <c r="J23" s="19" t="s">
        <v>234</v>
      </c>
      <c r="K23" s="19" t="s">
        <v>235</v>
      </c>
      <c r="L23" s="19" t="s">
        <v>236</v>
      </c>
      <c r="M23" s="13">
        <v>4217.0</v>
      </c>
      <c r="N23" s="13" t="s">
        <v>237</v>
      </c>
      <c r="O23" s="13" t="s">
        <v>238</v>
      </c>
      <c r="P23" s="13"/>
      <c r="Q23" s="13" t="s">
        <v>48</v>
      </c>
      <c r="R23" s="13" t="s">
        <v>239</v>
      </c>
      <c r="S23" s="13">
        <v>9.760844892E9</v>
      </c>
      <c r="T23" s="11">
        <v>1.13931E7</v>
      </c>
      <c r="U23" s="11">
        <v>4.66212E7</v>
      </c>
      <c r="V23" s="26">
        <v>46028.0</v>
      </c>
      <c r="W23" s="12">
        <f t="shared" si="1"/>
        <v>46058</v>
      </c>
      <c r="X23" s="13" t="s">
        <v>215</v>
      </c>
      <c r="Y23" s="7" t="str">
        <f t="shared" si="2"/>
        <v>Expired</v>
      </c>
      <c r="Z23" s="8">
        <f t="shared" si="3"/>
        <v>0</v>
      </c>
      <c r="AA23" s="26">
        <v>46176.0</v>
      </c>
      <c r="AB23" s="13" t="s">
        <v>240</v>
      </c>
      <c r="AC23" s="13" t="s">
        <v>241</v>
      </c>
      <c r="AD23" s="13"/>
      <c r="AE23" s="13"/>
      <c r="AF23" s="13"/>
      <c r="AG23" s="13"/>
      <c r="AI23" s="13">
        <v>2.7233296E7</v>
      </c>
      <c r="AJ23" s="13">
        <v>7.7442663E7</v>
      </c>
    </row>
    <row r="24" ht="22.5" customHeight="1">
      <c r="A24" s="26">
        <v>45704.0</v>
      </c>
      <c r="B24" s="13" t="s">
        <v>229</v>
      </c>
      <c r="C24" s="13" t="s">
        <v>230</v>
      </c>
      <c r="D24" s="13">
        <v>9.814875375E9</v>
      </c>
      <c r="E24" s="13" t="s">
        <v>242</v>
      </c>
      <c r="F24" s="8" t="s">
        <v>42</v>
      </c>
      <c r="G24" s="13" t="s">
        <v>103</v>
      </c>
      <c r="H24" s="13" t="s">
        <v>232</v>
      </c>
      <c r="I24" s="19" t="s">
        <v>233</v>
      </c>
      <c r="J24" s="19" t="s">
        <v>234</v>
      </c>
      <c r="K24" s="19" t="s">
        <v>235</v>
      </c>
      <c r="L24" s="28" t="s">
        <v>236</v>
      </c>
      <c r="M24" s="13">
        <v>4216.0</v>
      </c>
      <c r="N24" s="13" t="s">
        <v>243</v>
      </c>
      <c r="O24" s="13" t="s">
        <v>244</v>
      </c>
      <c r="P24" s="13"/>
      <c r="Q24" s="13" t="s">
        <v>48</v>
      </c>
      <c r="R24" s="13" t="s">
        <v>245</v>
      </c>
      <c r="S24" s="13">
        <v>9.760837506E9</v>
      </c>
      <c r="T24" s="13">
        <v>3.8732502E7</v>
      </c>
      <c r="V24" s="26">
        <v>46039.0</v>
      </c>
      <c r="W24" s="12">
        <f t="shared" si="1"/>
        <v>46069</v>
      </c>
      <c r="X24" s="13" t="s">
        <v>215</v>
      </c>
      <c r="Y24" s="7" t="str">
        <f t="shared" si="2"/>
        <v>Expired</v>
      </c>
      <c r="Z24" s="8">
        <f t="shared" si="3"/>
        <v>0</v>
      </c>
      <c r="AA24" s="26">
        <v>46077.0</v>
      </c>
      <c r="AB24" s="13" t="s">
        <v>246</v>
      </c>
      <c r="AC24" s="13" t="s">
        <v>241</v>
      </c>
      <c r="AD24" s="13"/>
      <c r="AE24" s="13"/>
      <c r="AF24" s="13"/>
      <c r="AG24" s="13"/>
      <c r="AI24" s="13">
        <v>3.0800147E7</v>
      </c>
    </row>
    <row r="25" ht="22.5" customHeight="1">
      <c r="A25" s="26">
        <v>45705.0</v>
      </c>
      <c r="B25" s="13" t="s">
        <v>229</v>
      </c>
      <c r="C25" s="13" t="s">
        <v>230</v>
      </c>
      <c r="D25" s="19">
        <v>9.814875375E9</v>
      </c>
      <c r="E25" s="13" t="s">
        <v>247</v>
      </c>
      <c r="F25" s="8" t="s">
        <v>42</v>
      </c>
      <c r="G25" s="13" t="s">
        <v>103</v>
      </c>
      <c r="H25" s="13" t="s">
        <v>248</v>
      </c>
      <c r="I25" s="19" t="s">
        <v>249</v>
      </c>
      <c r="J25" s="19" t="s">
        <v>234</v>
      </c>
      <c r="K25" s="19" t="s">
        <v>235</v>
      </c>
      <c r="L25" s="19" t="s">
        <v>236</v>
      </c>
      <c r="M25" s="13">
        <v>9215.0</v>
      </c>
      <c r="N25" s="13" t="s">
        <v>250</v>
      </c>
      <c r="O25" s="13" t="s">
        <v>251</v>
      </c>
      <c r="P25" s="13"/>
      <c r="Q25" s="13" t="s">
        <v>252</v>
      </c>
      <c r="R25" s="13"/>
      <c r="S25" s="13">
        <v>9.810357731E9</v>
      </c>
      <c r="V25" s="26"/>
      <c r="W25" s="27" t="str">
        <f t="shared" si="1"/>
        <v/>
      </c>
      <c r="X25" s="13" t="s">
        <v>98</v>
      </c>
      <c r="Y25" s="7" t="str">
        <f t="shared" si="2"/>
        <v>Expired</v>
      </c>
      <c r="Z25" s="8">
        <f t="shared" si="3"/>
        <v>0</v>
      </c>
      <c r="AB25" s="13" t="s">
        <v>253</v>
      </c>
      <c r="AC25" s="13" t="s">
        <v>254</v>
      </c>
      <c r="AD25" s="13"/>
      <c r="AE25" s="13"/>
      <c r="AF25" s="13"/>
      <c r="AG25" s="13"/>
    </row>
    <row r="26" ht="22.5" customHeight="1">
      <c r="A26" s="26">
        <v>45706.0</v>
      </c>
      <c r="B26" s="13" t="s">
        <v>229</v>
      </c>
      <c r="C26" s="13" t="s">
        <v>255</v>
      </c>
      <c r="D26" s="19">
        <v>9.814875375E9</v>
      </c>
      <c r="E26" s="13" t="s">
        <v>256</v>
      </c>
      <c r="F26" s="8" t="s">
        <v>42</v>
      </c>
      <c r="G26" s="13" t="s">
        <v>103</v>
      </c>
      <c r="H26" s="13" t="s">
        <v>248</v>
      </c>
      <c r="I26" s="19" t="s">
        <v>233</v>
      </c>
      <c r="J26" s="19"/>
      <c r="K26" s="19" t="s">
        <v>235</v>
      </c>
      <c r="L26" s="19" t="s">
        <v>236</v>
      </c>
      <c r="M26" s="13">
        <v>7453.0</v>
      </c>
      <c r="N26" s="13"/>
      <c r="O26" s="13"/>
      <c r="P26" s="13"/>
      <c r="Q26" s="13" t="s">
        <v>252</v>
      </c>
      <c r="R26" s="13"/>
      <c r="S26" s="13">
        <v>9.81366524E9</v>
      </c>
      <c r="V26" s="26"/>
      <c r="W26" s="27" t="str">
        <f t="shared" si="1"/>
        <v/>
      </c>
      <c r="X26" s="13" t="s">
        <v>98</v>
      </c>
      <c r="Y26" s="7" t="str">
        <f t="shared" si="2"/>
        <v>Expired</v>
      </c>
      <c r="Z26" s="8">
        <f t="shared" si="3"/>
        <v>0</v>
      </c>
      <c r="AB26" s="13" t="s">
        <v>257</v>
      </c>
      <c r="AC26" s="13" t="s">
        <v>258</v>
      </c>
      <c r="AD26" s="13"/>
      <c r="AE26" s="13"/>
      <c r="AF26" s="13"/>
      <c r="AG26" s="13"/>
    </row>
    <row r="27" ht="22.5" customHeight="1">
      <c r="A27" s="7">
        <v>45705.0</v>
      </c>
      <c r="B27" s="8" t="s">
        <v>259</v>
      </c>
      <c r="C27" s="8" t="s">
        <v>260</v>
      </c>
      <c r="D27" s="9">
        <v>9.763365199E9</v>
      </c>
      <c r="E27" s="8" t="s">
        <v>261</v>
      </c>
      <c r="F27" s="8" t="s">
        <v>42</v>
      </c>
      <c r="G27" s="8" t="s">
        <v>103</v>
      </c>
      <c r="H27" s="8" t="s">
        <v>262</v>
      </c>
      <c r="I27" s="9" t="s">
        <v>45</v>
      </c>
      <c r="J27" s="9"/>
      <c r="K27" s="9">
        <v>9.763365199E9</v>
      </c>
      <c r="L27" s="9" t="s">
        <v>263</v>
      </c>
      <c r="M27" s="8">
        <v>5694.0</v>
      </c>
      <c r="N27" s="8" t="s">
        <v>264</v>
      </c>
      <c r="O27" s="8" t="s">
        <v>265</v>
      </c>
      <c r="P27" s="8"/>
      <c r="Q27" s="8" t="s">
        <v>48</v>
      </c>
      <c r="R27" s="13" t="s">
        <v>266</v>
      </c>
      <c r="S27" s="13">
        <v>9.760838532E9</v>
      </c>
      <c r="T27" s="11">
        <v>2.8234351E7</v>
      </c>
      <c r="U27" s="11">
        <v>2.6391366E7</v>
      </c>
      <c r="V27" s="26">
        <v>46082.0</v>
      </c>
      <c r="W27" s="12">
        <f t="shared" si="1"/>
        <v>46112</v>
      </c>
      <c r="X27" s="8" t="s">
        <v>137</v>
      </c>
      <c r="Y27" s="7" t="str">
        <f t="shared" si="2"/>
        <v>Expired</v>
      </c>
      <c r="Z27" s="8">
        <f t="shared" si="3"/>
        <v>0</v>
      </c>
      <c r="AA27" s="26">
        <v>46055.0</v>
      </c>
      <c r="AB27" s="8" t="s">
        <v>267</v>
      </c>
      <c r="AC27" s="8" t="s">
        <v>268</v>
      </c>
      <c r="AD27" s="8"/>
      <c r="AE27" s="8"/>
      <c r="AF27" s="8"/>
      <c r="AG27" s="8"/>
      <c r="AH27" s="10"/>
      <c r="AI27" s="8">
        <v>3.1359822E7</v>
      </c>
      <c r="AJ27" s="10"/>
      <c r="AK27" s="10"/>
      <c r="AL27" s="10"/>
      <c r="AM27" s="10"/>
    </row>
    <row r="28" ht="22.5" customHeight="1">
      <c r="A28" s="26"/>
      <c r="B28" s="13" t="s">
        <v>259</v>
      </c>
      <c r="C28" s="13" t="s">
        <v>260</v>
      </c>
      <c r="D28" s="19">
        <v>9.763365199E9</v>
      </c>
      <c r="E28" s="13" t="s">
        <v>261</v>
      </c>
      <c r="F28" s="8" t="s">
        <v>42</v>
      </c>
      <c r="G28" s="13" t="s">
        <v>103</v>
      </c>
      <c r="H28" s="13" t="s">
        <v>262</v>
      </c>
      <c r="I28" s="9" t="s">
        <v>45</v>
      </c>
      <c r="J28" s="19"/>
      <c r="K28" s="19">
        <v>9.763365199E9</v>
      </c>
      <c r="L28" s="19" t="s">
        <v>263</v>
      </c>
      <c r="M28" s="13">
        <v>5692.0</v>
      </c>
      <c r="N28" s="13" t="s">
        <v>269</v>
      </c>
      <c r="O28" s="13" t="s">
        <v>270</v>
      </c>
      <c r="P28" s="13"/>
      <c r="Q28" s="13" t="s">
        <v>48</v>
      </c>
      <c r="R28" s="13" t="s">
        <v>271</v>
      </c>
      <c r="S28" s="13">
        <v>9.760837612E9</v>
      </c>
      <c r="T28" s="13">
        <v>2.1119136E7</v>
      </c>
      <c r="U28" s="13">
        <v>2.0468184E7</v>
      </c>
      <c r="V28" s="26">
        <v>46082.0</v>
      </c>
      <c r="W28" s="12">
        <f t="shared" si="1"/>
        <v>46112</v>
      </c>
      <c r="X28" s="13" t="s">
        <v>137</v>
      </c>
      <c r="Y28" s="7" t="str">
        <f t="shared" si="2"/>
        <v>Expired</v>
      </c>
      <c r="Z28" s="8">
        <f t="shared" si="3"/>
        <v>0</v>
      </c>
      <c r="AA28" s="26">
        <v>46069.0</v>
      </c>
      <c r="AB28" s="13" t="s">
        <v>272</v>
      </c>
      <c r="AC28" s="13" t="s">
        <v>273</v>
      </c>
      <c r="AD28" s="13"/>
      <c r="AE28" s="13"/>
      <c r="AF28" s="13"/>
      <c r="AG28" s="13"/>
      <c r="AI28" s="13">
        <v>2.8676176E7</v>
      </c>
    </row>
    <row r="29" ht="22.5" hidden="1" customHeight="1">
      <c r="A29" s="26">
        <v>45620.0</v>
      </c>
      <c r="B29" s="13" t="s">
        <v>184</v>
      </c>
      <c r="C29" s="13" t="s">
        <v>274</v>
      </c>
      <c r="D29" s="19" t="s">
        <v>275</v>
      </c>
      <c r="E29" s="13" t="s">
        <v>186</v>
      </c>
      <c r="F29" s="8" t="s">
        <v>42</v>
      </c>
      <c r="G29" s="13" t="s">
        <v>103</v>
      </c>
      <c r="H29" s="13" t="s">
        <v>276</v>
      </c>
      <c r="I29" s="9" t="s">
        <v>45</v>
      </c>
      <c r="J29" s="19"/>
      <c r="K29" s="19">
        <v>9.80357726E9</v>
      </c>
      <c r="L29" s="19" t="s">
        <v>277</v>
      </c>
      <c r="M29" s="13">
        <v>7023.0</v>
      </c>
      <c r="N29" s="13"/>
      <c r="O29" s="13"/>
      <c r="P29" s="13"/>
      <c r="Q29" s="13" t="s">
        <v>48</v>
      </c>
      <c r="R29" s="13"/>
      <c r="S29" s="13">
        <v>9.760837503E9</v>
      </c>
      <c r="V29" s="26"/>
      <c r="W29" s="27" t="str">
        <f t="shared" si="1"/>
        <v/>
      </c>
      <c r="X29" s="13" t="s">
        <v>50</v>
      </c>
      <c r="Y29" s="7" t="str">
        <f t="shared" si="2"/>
        <v>Expired</v>
      </c>
      <c r="Z29" s="8">
        <f t="shared" si="3"/>
        <v>0</v>
      </c>
      <c r="AB29" s="13" t="s">
        <v>278</v>
      </c>
      <c r="AC29" s="13"/>
      <c r="AD29" s="13"/>
      <c r="AE29" s="13"/>
      <c r="AF29" s="13"/>
      <c r="AG29" s="13"/>
    </row>
    <row r="30" ht="22.5" hidden="1" customHeight="1">
      <c r="A30" s="7">
        <v>45713.0</v>
      </c>
      <c r="B30" s="8" t="s">
        <v>279</v>
      </c>
      <c r="C30" s="8" t="s">
        <v>40</v>
      </c>
      <c r="D30" s="9">
        <v>9.804079285E9</v>
      </c>
      <c r="E30" s="8" t="s">
        <v>41</v>
      </c>
      <c r="F30" s="8" t="s">
        <v>42</v>
      </c>
      <c r="G30" s="8" t="s">
        <v>103</v>
      </c>
      <c r="H30" s="8" t="s">
        <v>232</v>
      </c>
      <c r="I30" s="9" t="s">
        <v>45</v>
      </c>
      <c r="J30" s="9"/>
      <c r="K30" s="9">
        <v>9.808830619E9</v>
      </c>
      <c r="L30" s="9" t="s">
        <v>46</v>
      </c>
      <c r="M30" s="8">
        <v>5431.0</v>
      </c>
      <c r="N30" s="8" t="s">
        <v>280</v>
      </c>
      <c r="O30" s="8" t="s">
        <v>281</v>
      </c>
      <c r="P30" s="8"/>
      <c r="Q30" s="8" t="s">
        <v>48</v>
      </c>
      <c r="R30" s="8"/>
      <c r="S30" s="8"/>
      <c r="T30" s="8">
        <v>6.9502655E7</v>
      </c>
      <c r="U30" s="8"/>
      <c r="V30" s="7">
        <v>46000.0</v>
      </c>
      <c r="W30" s="12">
        <f t="shared" si="1"/>
        <v>46030</v>
      </c>
      <c r="X30" s="8" t="s">
        <v>137</v>
      </c>
      <c r="Y30" s="7" t="str">
        <f t="shared" si="2"/>
        <v>Expired</v>
      </c>
      <c r="Z30" s="8">
        <f t="shared" si="3"/>
        <v>0</v>
      </c>
      <c r="AA30" s="7"/>
      <c r="AB30" s="8" t="s">
        <v>282</v>
      </c>
      <c r="AC30" s="8" t="s">
        <v>283</v>
      </c>
      <c r="AD30" s="8"/>
      <c r="AE30" s="8"/>
      <c r="AF30" s="8"/>
      <c r="AG30" s="8"/>
      <c r="AH30" s="10"/>
      <c r="AI30" s="8">
        <v>1.0544859E7</v>
      </c>
      <c r="AJ30" s="8">
        <v>2.9973973E7</v>
      </c>
      <c r="AK30" s="10"/>
      <c r="AL30" s="10"/>
      <c r="AM30" s="10"/>
    </row>
    <row r="31" ht="22.5" customHeight="1">
      <c r="A31" s="7"/>
      <c r="B31" s="8" t="s">
        <v>229</v>
      </c>
      <c r="C31" s="8" t="s">
        <v>255</v>
      </c>
      <c r="D31" s="9">
        <v>9.814875375E9</v>
      </c>
      <c r="E31" s="8" t="s">
        <v>242</v>
      </c>
      <c r="F31" s="8" t="s">
        <v>42</v>
      </c>
      <c r="G31" s="8" t="s">
        <v>103</v>
      </c>
      <c r="H31" s="8" t="s">
        <v>284</v>
      </c>
      <c r="I31" s="9" t="s">
        <v>45</v>
      </c>
      <c r="J31" s="9"/>
      <c r="K31" s="9" t="s">
        <v>235</v>
      </c>
      <c r="L31" s="9" t="s">
        <v>236</v>
      </c>
      <c r="M31" s="8">
        <v>343.0</v>
      </c>
      <c r="N31" s="8" t="s">
        <v>285</v>
      </c>
      <c r="O31" s="8" t="s">
        <v>286</v>
      </c>
      <c r="P31" s="8"/>
      <c r="Q31" s="8" t="s">
        <v>74</v>
      </c>
      <c r="R31" s="8" t="s">
        <v>287</v>
      </c>
      <c r="S31" s="8">
        <v>9.760839285E9</v>
      </c>
      <c r="T31" s="8">
        <v>3.1460514E7</v>
      </c>
      <c r="U31" s="10"/>
      <c r="V31" s="7">
        <v>46054.0</v>
      </c>
      <c r="W31" s="12">
        <f t="shared" si="1"/>
        <v>46084</v>
      </c>
      <c r="X31" s="8" t="s">
        <v>137</v>
      </c>
      <c r="Y31" s="7" t="str">
        <f t="shared" si="2"/>
        <v>Expired</v>
      </c>
      <c r="Z31" s="8">
        <f t="shared" si="3"/>
        <v>0</v>
      </c>
      <c r="AA31" s="7">
        <v>45957.0</v>
      </c>
      <c r="AB31" s="8" t="s">
        <v>288</v>
      </c>
      <c r="AC31" s="8">
        <v>9.852834695E9</v>
      </c>
      <c r="AD31" s="8"/>
      <c r="AE31" s="8"/>
      <c r="AF31" s="8"/>
      <c r="AG31" s="8"/>
      <c r="AH31" s="8">
        <v>9.80082995E9</v>
      </c>
      <c r="AI31" s="10"/>
      <c r="AJ31" s="10"/>
      <c r="AK31" s="10"/>
      <c r="AL31" s="10"/>
      <c r="AM31" s="10"/>
    </row>
    <row r="32" ht="22.5" customHeight="1">
      <c r="A32" s="7"/>
      <c r="B32" s="8" t="s">
        <v>289</v>
      </c>
      <c r="C32" s="8" t="s">
        <v>290</v>
      </c>
      <c r="D32" s="9">
        <v>9.819789358E9</v>
      </c>
      <c r="E32" s="8" t="s">
        <v>291</v>
      </c>
      <c r="F32" s="8" t="s">
        <v>42</v>
      </c>
      <c r="G32" s="8" t="s">
        <v>103</v>
      </c>
      <c r="H32" s="8" t="s">
        <v>292</v>
      </c>
      <c r="I32" s="9" t="s">
        <v>45</v>
      </c>
      <c r="J32" s="9"/>
      <c r="K32" s="9">
        <v>9.819789358E9</v>
      </c>
      <c r="L32" s="9" t="s">
        <v>236</v>
      </c>
      <c r="M32" s="8">
        <v>3401.0</v>
      </c>
      <c r="N32" s="8" t="s">
        <v>293</v>
      </c>
      <c r="O32" s="8"/>
      <c r="P32" s="8"/>
      <c r="Q32" s="8" t="s">
        <v>48</v>
      </c>
      <c r="R32" s="29" t="s">
        <v>294</v>
      </c>
      <c r="S32" s="30">
        <v>9.760837613E9</v>
      </c>
      <c r="T32" s="29">
        <v>3.8107092E7</v>
      </c>
      <c r="U32" s="29">
        <v>3.2552122E7</v>
      </c>
      <c r="V32" s="7">
        <v>45973.0</v>
      </c>
      <c r="W32" s="12">
        <f t="shared" si="1"/>
        <v>46153</v>
      </c>
      <c r="X32" s="8" t="s">
        <v>63</v>
      </c>
      <c r="Y32" s="7" t="str">
        <f t="shared" si="2"/>
        <v>Active</v>
      </c>
      <c r="Z32" s="8">
        <f t="shared" si="3"/>
        <v>38</v>
      </c>
      <c r="AA32" s="7">
        <v>45987.0</v>
      </c>
      <c r="AB32" s="8" t="s">
        <v>295</v>
      </c>
      <c r="AC32" s="8" t="s">
        <v>296</v>
      </c>
      <c r="AD32" s="8" t="s">
        <v>297</v>
      </c>
      <c r="AE32" s="8" t="s">
        <v>236</v>
      </c>
      <c r="AF32" s="8"/>
      <c r="AG32" s="8"/>
      <c r="AH32" s="10"/>
      <c r="AI32" s="8">
        <v>2.3619128E7</v>
      </c>
      <c r="AJ32" s="10"/>
      <c r="AK32" s="24">
        <v>0.7638888888888888</v>
      </c>
      <c r="AL32" s="22"/>
      <c r="AM32" s="22"/>
    </row>
    <row r="33" ht="22.5" customHeight="1">
      <c r="A33" s="7"/>
      <c r="B33" s="8" t="s">
        <v>289</v>
      </c>
      <c r="C33" s="8" t="s">
        <v>290</v>
      </c>
      <c r="D33" s="9">
        <v>9.819789358E9</v>
      </c>
      <c r="E33" s="8" t="s">
        <v>291</v>
      </c>
      <c r="F33" s="8" t="s">
        <v>42</v>
      </c>
      <c r="G33" s="8" t="s">
        <v>103</v>
      </c>
      <c r="H33" s="8" t="s">
        <v>292</v>
      </c>
      <c r="I33" s="9" t="s">
        <v>45</v>
      </c>
      <c r="J33" s="9"/>
      <c r="K33" s="9">
        <v>9.819789358E9</v>
      </c>
      <c r="L33" s="9" t="s">
        <v>236</v>
      </c>
      <c r="M33" s="8">
        <v>3402.0</v>
      </c>
      <c r="N33" s="8" t="s">
        <v>298</v>
      </c>
      <c r="O33" s="8"/>
      <c r="P33" s="8"/>
      <c r="Q33" s="8"/>
      <c r="R33" s="29" t="s">
        <v>299</v>
      </c>
      <c r="S33" s="30">
        <v>9.760834993E9</v>
      </c>
      <c r="T33" s="29">
        <v>2.2062014E7</v>
      </c>
      <c r="U33" s="29">
        <v>1.033333E7</v>
      </c>
      <c r="V33" s="7">
        <v>45974.0</v>
      </c>
      <c r="W33" s="12">
        <f t="shared" si="1"/>
        <v>46154</v>
      </c>
      <c r="X33" s="8" t="s">
        <v>63</v>
      </c>
      <c r="Y33" s="7" t="str">
        <f t="shared" si="2"/>
        <v>Active</v>
      </c>
      <c r="Z33" s="8">
        <f t="shared" si="3"/>
        <v>39</v>
      </c>
      <c r="AA33" s="7">
        <v>46071.0</v>
      </c>
      <c r="AB33" s="8" t="s">
        <v>300</v>
      </c>
      <c r="AC33" s="8" t="s">
        <v>301</v>
      </c>
      <c r="AD33" s="8" t="s">
        <v>297</v>
      </c>
      <c r="AE33" s="8" t="s">
        <v>236</v>
      </c>
      <c r="AF33" s="8"/>
      <c r="AG33" s="8"/>
      <c r="AH33" s="10"/>
      <c r="AI33" s="8">
        <v>2.0392903E7</v>
      </c>
      <c r="AJ33" s="10"/>
      <c r="AK33" s="24">
        <v>0.7666666666666667</v>
      </c>
      <c r="AL33" s="22"/>
      <c r="AM33" s="22"/>
    </row>
    <row r="34" ht="22.5" customHeight="1">
      <c r="A34" s="7">
        <v>45638.0</v>
      </c>
      <c r="B34" s="8" t="s">
        <v>302</v>
      </c>
      <c r="C34" s="8" t="s">
        <v>303</v>
      </c>
      <c r="D34" s="9">
        <v>9.76553302E9</v>
      </c>
      <c r="E34" s="8" t="s">
        <v>304</v>
      </c>
      <c r="F34" s="8" t="s">
        <v>42</v>
      </c>
      <c r="G34" s="8" t="s">
        <v>103</v>
      </c>
      <c r="H34" s="8" t="s">
        <v>220</v>
      </c>
      <c r="I34" s="9" t="s">
        <v>45</v>
      </c>
      <c r="J34" s="9"/>
      <c r="K34" s="9" t="s">
        <v>305</v>
      </c>
      <c r="L34" s="9" t="s">
        <v>306</v>
      </c>
      <c r="M34" s="8">
        <v>3540.0</v>
      </c>
      <c r="N34" s="8" t="s">
        <v>307</v>
      </c>
      <c r="O34" s="8" t="s">
        <v>308</v>
      </c>
      <c r="P34" s="8"/>
      <c r="Q34" s="8" t="s">
        <v>48</v>
      </c>
      <c r="R34" s="31" t="s">
        <v>309</v>
      </c>
      <c r="S34" s="8"/>
      <c r="T34" s="8">
        <v>1.6061731E7</v>
      </c>
      <c r="U34" s="8">
        <v>1.8731131E7</v>
      </c>
      <c r="V34" s="7">
        <v>45842.0</v>
      </c>
      <c r="W34" s="12">
        <f t="shared" si="1"/>
        <v>46022</v>
      </c>
      <c r="X34" s="8" t="s">
        <v>63</v>
      </c>
      <c r="Y34" s="7" t="str">
        <f t="shared" si="2"/>
        <v>Expired</v>
      </c>
      <c r="Z34" s="8">
        <f t="shared" si="3"/>
        <v>0</v>
      </c>
      <c r="AA34" s="7"/>
      <c r="AB34" s="8" t="s">
        <v>310</v>
      </c>
      <c r="AC34" s="8" t="s">
        <v>311</v>
      </c>
      <c r="AD34" s="8" t="s">
        <v>305</v>
      </c>
      <c r="AE34" s="8" t="s">
        <v>306</v>
      </c>
      <c r="AF34" s="8">
        <v>8.61128066876167E14</v>
      </c>
      <c r="AG34" s="8"/>
      <c r="AH34" s="10"/>
      <c r="AI34" s="10"/>
      <c r="AJ34" s="10"/>
      <c r="AK34" s="24">
        <v>0.5847222222222223</v>
      </c>
      <c r="AL34" s="10"/>
      <c r="AM34" s="10"/>
    </row>
    <row r="35" ht="22.5" customHeight="1">
      <c r="A35" s="7">
        <v>45638.0</v>
      </c>
      <c r="B35" s="8" t="s">
        <v>302</v>
      </c>
      <c r="C35" s="8" t="s">
        <v>303</v>
      </c>
      <c r="D35" s="9">
        <v>9.76553302E9</v>
      </c>
      <c r="E35" s="8" t="s">
        <v>304</v>
      </c>
      <c r="F35" s="8" t="s">
        <v>42</v>
      </c>
      <c r="G35" s="8" t="s">
        <v>103</v>
      </c>
      <c r="H35" s="8" t="s">
        <v>220</v>
      </c>
      <c r="I35" s="9" t="s">
        <v>45</v>
      </c>
      <c r="J35" s="9"/>
      <c r="K35" s="9" t="s">
        <v>305</v>
      </c>
      <c r="L35" s="9" t="s">
        <v>306</v>
      </c>
      <c r="M35" s="8">
        <v>3539.0</v>
      </c>
      <c r="N35" s="8" t="s">
        <v>312</v>
      </c>
      <c r="O35" s="8" t="s">
        <v>313</v>
      </c>
      <c r="P35" s="8"/>
      <c r="Q35" s="8" t="s">
        <v>48</v>
      </c>
      <c r="R35" s="15" t="s">
        <v>314</v>
      </c>
      <c r="S35" s="16"/>
      <c r="T35" s="15">
        <v>2.1330123E7</v>
      </c>
      <c r="U35" s="15">
        <v>2.4255293E7</v>
      </c>
      <c r="V35" s="7">
        <v>45842.0</v>
      </c>
      <c r="W35" s="12">
        <f t="shared" si="1"/>
        <v>46022</v>
      </c>
      <c r="X35" s="8" t="s">
        <v>63</v>
      </c>
      <c r="Y35" s="7" t="str">
        <f t="shared" si="2"/>
        <v>Expired</v>
      </c>
      <c r="Z35" s="8">
        <f t="shared" si="3"/>
        <v>0</v>
      </c>
      <c r="AA35" s="7"/>
      <c r="AB35" s="8" t="s">
        <v>315</v>
      </c>
      <c r="AC35" s="8" t="s">
        <v>316</v>
      </c>
      <c r="AD35" s="8" t="s">
        <v>305</v>
      </c>
      <c r="AE35" s="8" t="s">
        <v>306</v>
      </c>
      <c r="AF35" s="8">
        <v>8.6112806687954E13</v>
      </c>
      <c r="AG35" s="8"/>
      <c r="AH35" s="10"/>
      <c r="AI35" s="8">
        <v>1.9834398E7</v>
      </c>
      <c r="AJ35" s="8">
        <v>5.9311597E7</v>
      </c>
      <c r="AK35" s="10"/>
      <c r="AL35" s="10"/>
      <c r="AM35" s="10"/>
    </row>
    <row r="36" ht="22.5" customHeight="1">
      <c r="A36" s="7"/>
      <c r="B36" s="8" t="s">
        <v>317</v>
      </c>
      <c r="C36" s="8" t="s">
        <v>40</v>
      </c>
      <c r="D36" s="9">
        <v>9.851090379E9</v>
      </c>
      <c r="E36" s="8" t="s">
        <v>318</v>
      </c>
      <c r="F36" s="8" t="s">
        <v>42</v>
      </c>
      <c r="G36" s="8" t="s">
        <v>103</v>
      </c>
      <c r="H36" s="8" t="s">
        <v>44</v>
      </c>
      <c r="I36" s="9" t="s">
        <v>319</v>
      </c>
      <c r="J36" s="9"/>
      <c r="K36" s="9">
        <v>9.851090379E9</v>
      </c>
      <c r="L36" s="9" t="s">
        <v>320</v>
      </c>
      <c r="M36" s="8">
        <v>2689.0</v>
      </c>
      <c r="N36" s="8" t="s">
        <v>321</v>
      </c>
      <c r="O36" s="8" t="s">
        <v>322</v>
      </c>
      <c r="P36" s="8"/>
      <c r="Q36" s="8" t="s">
        <v>48</v>
      </c>
      <c r="R36" s="8"/>
      <c r="S36" s="13">
        <v>9.712006504E9</v>
      </c>
      <c r="T36" s="8"/>
      <c r="U36" s="8"/>
      <c r="V36" s="7">
        <v>46103.0</v>
      </c>
      <c r="W36" s="12">
        <f t="shared" si="1"/>
        <v>46133</v>
      </c>
      <c r="X36" s="8" t="s">
        <v>137</v>
      </c>
      <c r="Y36" s="7" t="str">
        <f t="shared" si="2"/>
        <v>Active</v>
      </c>
      <c r="Z36" s="8">
        <f t="shared" si="3"/>
        <v>18</v>
      </c>
      <c r="AA36" s="7"/>
      <c r="AB36" s="8" t="s">
        <v>323</v>
      </c>
      <c r="AC36" s="8" t="s">
        <v>324</v>
      </c>
      <c r="AD36" s="8"/>
      <c r="AE36" s="8"/>
      <c r="AF36" s="8"/>
      <c r="AG36" s="8"/>
      <c r="AH36" s="10"/>
      <c r="AI36" s="8">
        <v>3.1190271E7</v>
      </c>
      <c r="AJ36" s="8">
        <v>1.165154E7</v>
      </c>
      <c r="AK36" s="10"/>
      <c r="AL36" s="10"/>
      <c r="AM36" s="10"/>
    </row>
    <row r="37" ht="22.5" customHeight="1">
      <c r="A37" s="7"/>
      <c r="B37" s="8" t="s">
        <v>317</v>
      </c>
      <c r="C37" s="8" t="s">
        <v>40</v>
      </c>
      <c r="D37" s="9">
        <v>9.851090379E9</v>
      </c>
      <c r="E37" s="8" t="s">
        <v>318</v>
      </c>
      <c r="F37" s="8" t="s">
        <v>42</v>
      </c>
      <c r="G37" s="8" t="s">
        <v>103</v>
      </c>
      <c r="H37" s="8" t="s">
        <v>44</v>
      </c>
      <c r="I37" s="9" t="s">
        <v>319</v>
      </c>
      <c r="J37" s="9"/>
      <c r="K37" s="9">
        <v>9.851090379E9</v>
      </c>
      <c r="L37" s="9" t="s">
        <v>320</v>
      </c>
      <c r="M37" s="8">
        <v>2690.0</v>
      </c>
      <c r="N37" s="8" t="s">
        <v>325</v>
      </c>
      <c r="O37" s="8"/>
      <c r="P37" s="8"/>
      <c r="Q37" s="8" t="s">
        <v>48</v>
      </c>
      <c r="R37" s="8" t="s">
        <v>326</v>
      </c>
      <c r="S37" s="8">
        <v>9.760837728E9</v>
      </c>
      <c r="T37" s="8">
        <v>2.5413333E7</v>
      </c>
      <c r="U37" s="8">
        <v>1.1746281E7</v>
      </c>
      <c r="V37" s="7">
        <v>46054.0</v>
      </c>
      <c r="W37" s="12">
        <f t="shared" si="1"/>
        <v>46084</v>
      </c>
      <c r="X37" s="8" t="s">
        <v>137</v>
      </c>
      <c r="Y37" s="7" t="str">
        <f t="shared" si="2"/>
        <v>Expired</v>
      </c>
      <c r="Z37" s="8">
        <f t="shared" si="3"/>
        <v>0</v>
      </c>
      <c r="AA37" s="7"/>
      <c r="AB37" s="8" t="s">
        <v>327</v>
      </c>
      <c r="AC37" s="8" t="s">
        <v>328</v>
      </c>
      <c r="AD37" s="8"/>
      <c r="AE37" s="8"/>
      <c r="AF37" s="8"/>
      <c r="AG37" s="8"/>
      <c r="AH37" s="10"/>
      <c r="AI37" s="8">
        <v>2.2561314E7</v>
      </c>
      <c r="AJ37" s="8">
        <v>3.2219252E7</v>
      </c>
      <c r="AK37" s="10"/>
      <c r="AL37" s="10"/>
      <c r="AM37" s="10"/>
    </row>
    <row r="38" ht="22.5" customHeight="1">
      <c r="A38" s="7"/>
      <c r="B38" s="8" t="s">
        <v>329</v>
      </c>
      <c r="C38" s="8" t="s">
        <v>260</v>
      </c>
      <c r="D38" s="9">
        <v>9.845988492E9</v>
      </c>
      <c r="E38" s="8" t="s">
        <v>330</v>
      </c>
      <c r="F38" s="8" t="s">
        <v>42</v>
      </c>
      <c r="G38" s="8" t="s">
        <v>103</v>
      </c>
      <c r="H38" s="8" t="s">
        <v>44</v>
      </c>
      <c r="I38" s="9" t="s">
        <v>331</v>
      </c>
      <c r="J38" s="9" t="s">
        <v>249</v>
      </c>
      <c r="K38" s="9">
        <v>9.845988492E9</v>
      </c>
      <c r="L38" s="9" t="s">
        <v>332</v>
      </c>
      <c r="M38" s="8">
        <v>1783.0</v>
      </c>
      <c r="N38" s="8" t="s">
        <v>333</v>
      </c>
      <c r="O38" s="8" t="s">
        <v>334</v>
      </c>
      <c r="P38" s="8"/>
      <c r="Q38" s="8" t="s">
        <v>48</v>
      </c>
      <c r="R38" s="8" t="s">
        <v>335</v>
      </c>
      <c r="S38" s="8">
        <v>9.760844761E9</v>
      </c>
      <c r="T38" s="8">
        <v>1.4156246E7</v>
      </c>
      <c r="U38" s="8">
        <v>9.2265902E7</v>
      </c>
      <c r="V38" s="7">
        <v>45977.0</v>
      </c>
      <c r="W38" s="12">
        <f t="shared" si="1"/>
        <v>46157</v>
      </c>
      <c r="X38" s="8" t="s">
        <v>63</v>
      </c>
      <c r="Y38" s="7" t="str">
        <f t="shared" si="2"/>
        <v>Active</v>
      </c>
      <c r="Z38" s="8">
        <f t="shared" si="3"/>
        <v>42</v>
      </c>
      <c r="AA38" s="7">
        <v>45792.0</v>
      </c>
      <c r="AB38" s="8" t="s">
        <v>336</v>
      </c>
      <c r="AC38" s="8" t="s">
        <v>337</v>
      </c>
      <c r="AD38" s="8" t="s">
        <v>338</v>
      </c>
      <c r="AE38" s="8" t="s">
        <v>332</v>
      </c>
      <c r="AF38" s="8">
        <v>8.6112806682892E13</v>
      </c>
      <c r="AG38" s="8" t="s">
        <v>339</v>
      </c>
      <c r="AH38" s="10"/>
      <c r="AI38" s="8">
        <v>1.3992265E7</v>
      </c>
      <c r="AJ38" s="8">
        <v>1.8912127E7</v>
      </c>
      <c r="AK38" s="10"/>
      <c r="AL38" s="10"/>
      <c r="AM38" s="10"/>
    </row>
    <row r="39" ht="22.5" customHeight="1">
      <c r="A39" s="7"/>
      <c r="B39" s="8" t="s">
        <v>329</v>
      </c>
      <c r="C39" s="8" t="s">
        <v>260</v>
      </c>
      <c r="D39" s="9">
        <v>9.845988492E9</v>
      </c>
      <c r="E39" s="8" t="s">
        <v>330</v>
      </c>
      <c r="F39" s="8" t="s">
        <v>42</v>
      </c>
      <c r="G39" s="8" t="s">
        <v>103</v>
      </c>
      <c r="H39" s="8" t="s">
        <v>44</v>
      </c>
      <c r="I39" s="9" t="s">
        <v>331</v>
      </c>
      <c r="J39" s="9" t="s">
        <v>249</v>
      </c>
      <c r="K39" s="9">
        <v>9.845988492E9</v>
      </c>
      <c r="L39" s="9" t="s">
        <v>332</v>
      </c>
      <c r="M39" s="8">
        <v>1784.0</v>
      </c>
      <c r="N39" s="8" t="s">
        <v>340</v>
      </c>
      <c r="O39" s="8" t="s">
        <v>341</v>
      </c>
      <c r="P39" s="8"/>
      <c r="Q39" s="8" t="s">
        <v>48</v>
      </c>
      <c r="R39" s="8" t="s">
        <v>342</v>
      </c>
      <c r="S39" s="8">
        <v>9.760843142E9</v>
      </c>
      <c r="T39" s="8">
        <v>8.9692815E7</v>
      </c>
      <c r="U39" s="8">
        <v>2.4099194E7</v>
      </c>
      <c r="V39" s="7">
        <v>45977.0</v>
      </c>
      <c r="W39" s="12">
        <f t="shared" si="1"/>
        <v>46157</v>
      </c>
      <c r="X39" s="8" t="s">
        <v>63</v>
      </c>
      <c r="Y39" s="7" t="str">
        <f t="shared" si="2"/>
        <v>Active</v>
      </c>
      <c r="Z39" s="8">
        <f t="shared" si="3"/>
        <v>42</v>
      </c>
      <c r="AA39" s="7">
        <v>45792.0</v>
      </c>
      <c r="AB39" s="8" t="s">
        <v>343</v>
      </c>
      <c r="AC39" s="8" t="s">
        <v>344</v>
      </c>
      <c r="AD39" s="8" t="s">
        <v>338</v>
      </c>
      <c r="AE39" s="8" t="s">
        <v>332</v>
      </c>
      <c r="AF39" s="8">
        <v>8.61128060541544E14</v>
      </c>
      <c r="AG39" s="8" t="s">
        <v>339</v>
      </c>
      <c r="AH39" s="10"/>
      <c r="AI39" s="8">
        <v>1.7984204E7</v>
      </c>
      <c r="AJ39" s="8">
        <v>2.3491685E7</v>
      </c>
      <c r="AK39" s="10"/>
      <c r="AL39" s="10"/>
      <c r="AM39" s="10"/>
    </row>
    <row r="40" ht="22.5" hidden="1" customHeight="1">
      <c r="A40" s="26"/>
      <c r="B40" s="13" t="s">
        <v>345</v>
      </c>
      <c r="C40" s="13" t="s">
        <v>346</v>
      </c>
      <c r="D40" s="19">
        <v>9.841355552E9</v>
      </c>
      <c r="E40" s="13" t="s">
        <v>347</v>
      </c>
      <c r="F40" s="8" t="s">
        <v>42</v>
      </c>
      <c r="G40" s="13" t="s">
        <v>103</v>
      </c>
      <c r="H40" s="13" t="s">
        <v>348</v>
      </c>
      <c r="I40" s="19" t="s">
        <v>45</v>
      </c>
      <c r="J40" s="19"/>
      <c r="K40" s="19"/>
      <c r="L40" s="19"/>
      <c r="M40" s="13">
        <v>4529.0</v>
      </c>
      <c r="N40" s="13"/>
      <c r="O40" s="13"/>
      <c r="P40" s="13"/>
      <c r="Q40" s="13" t="s">
        <v>48</v>
      </c>
      <c r="R40" s="13" t="s">
        <v>349</v>
      </c>
      <c r="T40" s="13">
        <v>1.4268837E7</v>
      </c>
      <c r="U40" s="13">
        <v>1.6616267E7</v>
      </c>
      <c r="V40" s="25">
        <v>45996.0</v>
      </c>
      <c r="W40" s="32">
        <f t="shared" si="1"/>
        <v>46026</v>
      </c>
      <c r="X40" s="8" t="s">
        <v>215</v>
      </c>
      <c r="Y40" s="7" t="str">
        <f t="shared" si="2"/>
        <v>Expired</v>
      </c>
      <c r="Z40" s="8">
        <f t="shared" si="3"/>
        <v>0</v>
      </c>
      <c r="AA40" s="26">
        <v>46176.0</v>
      </c>
      <c r="AB40" s="13" t="s">
        <v>350</v>
      </c>
      <c r="AC40" s="13" t="s">
        <v>351</v>
      </c>
      <c r="AD40" s="13"/>
      <c r="AE40" s="13"/>
      <c r="AF40" s="13"/>
      <c r="AG40" s="13"/>
    </row>
    <row r="41" ht="22.5" hidden="1" customHeight="1">
      <c r="A41" s="26"/>
      <c r="B41" s="13" t="s">
        <v>345</v>
      </c>
      <c r="C41" s="13" t="s">
        <v>346</v>
      </c>
      <c r="D41" s="19">
        <v>9.841355552E9</v>
      </c>
      <c r="E41" s="13" t="s">
        <v>347</v>
      </c>
      <c r="F41" s="8" t="s">
        <v>42</v>
      </c>
      <c r="G41" s="13" t="s">
        <v>103</v>
      </c>
      <c r="H41" s="13" t="s">
        <v>348</v>
      </c>
      <c r="I41" s="19" t="s">
        <v>45</v>
      </c>
      <c r="J41" s="19"/>
      <c r="K41" s="19"/>
      <c r="L41" s="19"/>
      <c r="M41" s="13">
        <v>4530.0</v>
      </c>
      <c r="N41" s="13"/>
      <c r="O41" s="13"/>
      <c r="P41" s="13"/>
      <c r="Q41" s="13" t="s">
        <v>252</v>
      </c>
      <c r="R41" s="13"/>
      <c r="S41" s="13">
        <v>9.804188258E9</v>
      </c>
      <c r="V41" s="25">
        <v>45995.0</v>
      </c>
      <c r="W41" s="32">
        <f t="shared" si="1"/>
        <v>46023</v>
      </c>
      <c r="X41" s="8" t="s">
        <v>98</v>
      </c>
      <c r="Y41" s="7" t="str">
        <f t="shared" si="2"/>
        <v>Expired</v>
      </c>
      <c r="Z41" s="8">
        <f t="shared" si="3"/>
        <v>0</v>
      </c>
      <c r="AB41" s="13" t="s">
        <v>352</v>
      </c>
      <c r="AC41" s="13"/>
      <c r="AD41" s="13"/>
      <c r="AE41" s="13"/>
      <c r="AF41" s="13"/>
      <c r="AG41" s="13"/>
    </row>
    <row r="42" ht="22.5" hidden="1" customHeight="1">
      <c r="A42" s="26"/>
      <c r="B42" s="13" t="s">
        <v>353</v>
      </c>
      <c r="C42" s="13" t="s">
        <v>68</v>
      </c>
      <c r="D42" s="19">
        <v>9.864576988E9</v>
      </c>
      <c r="E42" s="13" t="s">
        <v>354</v>
      </c>
      <c r="F42" s="8" t="s">
        <v>42</v>
      </c>
      <c r="G42" s="13" t="s">
        <v>103</v>
      </c>
      <c r="H42" s="13" t="s">
        <v>70</v>
      </c>
      <c r="I42" s="19" t="s">
        <v>45</v>
      </c>
      <c r="J42" s="19"/>
      <c r="K42" s="19"/>
      <c r="L42" s="19"/>
      <c r="M42" s="13">
        <v>1765.0</v>
      </c>
      <c r="N42" s="13"/>
      <c r="O42" s="13"/>
      <c r="P42" s="13"/>
      <c r="Q42" s="13"/>
      <c r="R42" s="13" t="s">
        <v>355</v>
      </c>
      <c r="S42" s="13">
        <v>9.760837732E9</v>
      </c>
      <c r="T42" s="13">
        <v>2.7740647E7</v>
      </c>
      <c r="U42" s="13">
        <v>6.8297669E7</v>
      </c>
      <c r="V42" s="25">
        <v>45625.0</v>
      </c>
      <c r="W42" s="32">
        <f t="shared" si="1"/>
        <v>45805</v>
      </c>
      <c r="X42" s="8" t="s">
        <v>63</v>
      </c>
      <c r="Y42" s="7" t="str">
        <f t="shared" si="2"/>
        <v>Expired</v>
      </c>
      <c r="Z42" s="8">
        <f t="shared" si="3"/>
        <v>0</v>
      </c>
      <c r="AB42" s="13" t="s">
        <v>356</v>
      </c>
      <c r="AC42" s="13"/>
      <c r="AD42" s="13"/>
      <c r="AE42" s="13"/>
      <c r="AF42" s="13"/>
      <c r="AG42" s="13"/>
      <c r="AI42" s="13">
        <v>2.7740647E7</v>
      </c>
      <c r="AJ42" s="13">
        <v>6.8297669E7</v>
      </c>
    </row>
    <row r="43" ht="22.5" hidden="1" customHeight="1">
      <c r="A43" s="26"/>
      <c r="B43" s="13" t="s">
        <v>357</v>
      </c>
      <c r="C43" s="13" t="s">
        <v>358</v>
      </c>
      <c r="D43" s="19">
        <v>9.858751962E9</v>
      </c>
      <c r="E43" s="13" t="s">
        <v>359</v>
      </c>
      <c r="F43" s="8" t="s">
        <v>42</v>
      </c>
      <c r="G43" s="13" t="s">
        <v>103</v>
      </c>
      <c r="H43" s="13" t="s">
        <v>360</v>
      </c>
      <c r="I43" s="19" t="s">
        <v>221</v>
      </c>
      <c r="J43" s="19"/>
      <c r="K43" s="19">
        <v>9.858751962E9</v>
      </c>
      <c r="L43" s="19" t="s">
        <v>361</v>
      </c>
      <c r="M43" s="13">
        <v>1337.0</v>
      </c>
      <c r="N43" s="13" t="s">
        <v>362</v>
      </c>
      <c r="O43" s="13" t="s">
        <v>363</v>
      </c>
      <c r="P43" s="13"/>
      <c r="Q43" s="13" t="s">
        <v>48</v>
      </c>
      <c r="R43" s="13" t="s">
        <v>364</v>
      </c>
      <c r="S43" s="13">
        <v>9.76083518E9</v>
      </c>
      <c r="T43" s="13">
        <v>2.5652785E7</v>
      </c>
      <c r="V43" s="25">
        <v>45800.0</v>
      </c>
      <c r="W43" s="32">
        <f t="shared" si="1"/>
        <v>45980</v>
      </c>
      <c r="X43" s="13" t="s">
        <v>63</v>
      </c>
      <c r="Y43" s="7" t="str">
        <f t="shared" si="2"/>
        <v>Expired</v>
      </c>
      <c r="Z43" s="8">
        <f t="shared" si="3"/>
        <v>0</v>
      </c>
      <c r="AB43" s="13" t="s">
        <v>365</v>
      </c>
      <c r="AC43" s="13">
        <v>7.32962962E8</v>
      </c>
      <c r="AD43" s="13"/>
      <c r="AE43" s="13"/>
      <c r="AF43" s="13"/>
      <c r="AG43" s="13"/>
    </row>
    <row r="44" ht="22.5" customHeight="1">
      <c r="A44" s="7"/>
      <c r="B44" s="8" t="s">
        <v>366</v>
      </c>
      <c r="C44" s="8" t="s">
        <v>303</v>
      </c>
      <c r="D44" s="9">
        <v>9.851176148E9</v>
      </c>
      <c r="E44" s="8" t="s">
        <v>367</v>
      </c>
      <c r="F44" s="8" t="s">
        <v>42</v>
      </c>
      <c r="G44" s="8" t="s">
        <v>103</v>
      </c>
      <c r="H44" s="8" t="s">
        <v>220</v>
      </c>
      <c r="I44" s="33" t="s">
        <v>221</v>
      </c>
      <c r="J44" s="9"/>
      <c r="K44" s="9">
        <v>9.851176148E9</v>
      </c>
      <c r="L44" s="9" t="s">
        <v>368</v>
      </c>
      <c r="M44" s="8">
        <v>3313.0</v>
      </c>
      <c r="N44" s="8" t="s">
        <v>369</v>
      </c>
      <c r="O44" s="8" t="s">
        <v>370</v>
      </c>
      <c r="P44" s="8"/>
      <c r="Q44" s="8" t="s">
        <v>48</v>
      </c>
      <c r="R44" s="8" t="s">
        <v>371</v>
      </c>
      <c r="S44" s="8">
        <v>9.760844731E9</v>
      </c>
      <c r="T44" s="8">
        <v>2.2187127E7</v>
      </c>
      <c r="U44" s="8">
        <v>6.1142859E7</v>
      </c>
      <c r="V44" s="23">
        <v>45996.0</v>
      </c>
      <c r="W44" s="32">
        <f t="shared" si="1"/>
        <v>46176</v>
      </c>
      <c r="X44" s="8" t="s">
        <v>63</v>
      </c>
      <c r="Y44" s="7" t="str">
        <f t="shared" si="2"/>
        <v>Active</v>
      </c>
      <c r="Z44" s="8">
        <f t="shared" si="3"/>
        <v>61</v>
      </c>
      <c r="AA44" s="7">
        <f>V44+180</f>
        <v>46176</v>
      </c>
      <c r="AB44" s="8" t="s">
        <v>372</v>
      </c>
      <c r="AC44" s="8">
        <v>3.3133314E7</v>
      </c>
      <c r="AD44" s="8" t="s">
        <v>373</v>
      </c>
      <c r="AE44" s="8" t="s">
        <v>374</v>
      </c>
      <c r="AF44" s="8">
        <v>8.6112806688445E14</v>
      </c>
      <c r="AG44" s="8"/>
      <c r="AH44" s="10"/>
      <c r="AI44" s="8">
        <v>2.6756823E7</v>
      </c>
      <c r="AJ44" s="8">
        <v>2.4388883E7</v>
      </c>
      <c r="AK44" s="10"/>
      <c r="AL44" s="10"/>
      <c r="AM44" s="10"/>
      <c r="AN44" s="34"/>
    </row>
    <row r="45" ht="22.5" customHeight="1">
      <c r="A45" s="7">
        <v>66342.0</v>
      </c>
      <c r="B45" s="8" t="s">
        <v>366</v>
      </c>
      <c r="C45" s="8" t="s">
        <v>303</v>
      </c>
      <c r="D45" s="9">
        <v>9.851176148E9</v>
      </c>
      <c r="E45" s="8" t="s">
        <v>367</v>
      </c>
      <c r="F45" s="8" t="s">
        <v>42</v>
      </c>
      <c r="G45" s="8" t="s">
        <v>103</v>
      </c>
      <c r="H45" s="8" t="s">
        <v>220</v>
      </c>
      <c r="I45" s="33" t="s">
        <v>221</v>
      </c>
      <c r="J45" s="9"/>
      <c r="K45" s="9">
        <v>9.851176148E9</v>
      </c>
      <c r="L45" s="9" t="s">
        <v>368</v>
      </c>
      <c r="M45" s="8">
        <v>3314.0</v>
      </c>
      <c r="N45" s="8" t="s">
        <v>375</v>
      </c>
      <c r="O45" s="8" t="s">
        <v>376</v>
      </c>
      <c r="P45" s="8"/>
      <c r="Q45" s="8" t="s">
        <v>48</v>
      </c>
      <c r="R45" s="13" t="s">
        <v>377</v>
      </c>
      <c r="S45" s="8">
        <v>9.760843844E9</v>
      </c>
      <c r="T45" s="8"/>
      <c r="U45" s="8"/>
      <c r="V45" s="23">
        <v>45996.0</v>
      </c>
      <c r="W45" s="32">
        <f t="shared" si="1"/>
        <v>46176</v>
      </c>
      <c r="X45" s="8" t="s">
        <v>63</v>
      </c>
      <c r="Y45" s="7" t="str">
        <f t="shared" si="2"/>
        <v>Active</v>
      </c>
      <c r="Z45" s="8">
        <f t="shared" si="3"/>
        <v>61</v>
      </c>
      <c r="AA45" s="7">
        <v>46050.0</v>
      </c>
      <c r="AB45" s="8" t="s">
        <v>378</v>
      </c>
      <c r="AC45" s="8">
        <v>3.3133314E7</v>
      </c>
      <c r="AD45" s="8" t="s">
        <v>373</v>
      </c>
      <c r="AE45" s="8" t="s">
        <v>374</v>
      </c>
      <c r="AF45" s="8">
        <v>8.61128066871333E14</v>
      </c>
      <c r="AG45" s="8"/>
      <c r="AH45" s="10"/>
      <c r="AI45" s="8">
        <v>2.8371175E7</v>
      </c>
      <c r="AJ45" s="8">
        <v>4.6902282E7</v>
      </c>
      <c r="AK45" s="10"/>
      <c r="AL45" s="10"/>
      <c r="AM45" s="10"/>
    </row>
    <row r="46" ht="22.5" customHeight="1">
      <c r="A46" s="7"/>
      <c r="B46" s="8" t="s">
        <v>379</v>
      </c>
      <c r="C46" s="8" t="s">
        <v>303</v>
      </c>
      <c r="D46" s="9" t="s">
        <v>380</v>
      </c>
      <c r="E46" s="8" t="s">
        <v>381</v>
      </c>
      <c r="F46" s="8" t="s">
        <v>42</v>
      </c>
      <c r="G46" s="8" t="s">
        <v>103</v>
      </c>
      <c r="H46" s="8" t="s">
        <v>220</v>
      </c>
      <c r="I46" s="33" t="s">
        <v>221</v>
      </c>
      <c r="J46" s="9"/>
      <c r="K46" s="9">
        <v>9.852832686E9</v>
      </c>
      <c r="L46" s="9" t="s">
        <v>382</v>
      </c>
      <c r="M46" s="8">
        <v>3538.0</v>
      </c>
      <c r="N46" s="8" t="s">
        <v>383</v>
      </c>
      <c r="O46" s="8" t="s">
        <v>384</v>
      </c>
      <c r="P46" s="8"/>
      <c r="Q46" s="8" t="s">
        <v>48</v>
      </c>
      <c r="R46" s="8" t="s">
        <v>385</v>
      </c>
      <c r="S46" s="17">
        <v>9.760844827E9</v>
      </c>
      <c r="T46" s="8">
        <v>2.0896271E7</v>
      </c>
      <c r="U46" s="8">
        <v>1.3832142E7</v>
      </c>
      <c r="V46" s="23">
        <v>46066.0</v>
      </c>
      <c r="W46" s="32">
        <f t="shared" si="1"/>
        <v>46246</v>
      </c>
      <c r="X46" s="8" t="s">
        <v>63</v>
      </c>
      <c r="Y46" s="7" t="str">
        <f t="shared" si="2"/>
        <v>Active</v>
      </c>
      <c r="Z46" s="8">
        <f t="shared" si="3"/>
        <v>131</v>
      </c>
      <c r="AA46" s="7">
        <v>46246.0</v>
      </c>
      <c r="AB46" s="8" t="s">
        <v>386</v>
      </c>
      <c r="AC46" s="8">
        <v>9.852832686E9</v>
      </c>
      <c r="AD46" s="8" t="s">
        <v>387</v>
      </c>
      <c r="AE46" s="8" t="s">
        <v>382</v>
      </c>
      <c r="AF46" s="8">
        <v>8.61128066875433E14</v>
      </c>
      <c r="AG46" s="8"/>
      <c r="AH46" s="10"/>
      <c r="AI46" s="8">
        <v>2.5413333E7</v>
      </c>
      <c r="AJ46" s="8">
        <v>1.1746281E7</v>
      </c>
      <c r="AK46" s="10"/>
      <c r="AL46" s="10"/>
      <c r="AM46" s="10"/>
    </row>
    <row r="47" ht="22.5" customHeight="1">
      <c r="A47" s="7"/>
      <c r="B47" s="8" t="s">
        <v>379</v>
      </c>
      <c r="C47" s="8" t="s">
        <v>303</v>
      </c>
      <c r="D47" s="9" t="s">
        <v>380</v>
      </c>
      <c r="E47" s="8" t="s">
        <v>381</v>
      </c>
      <c r="F47" s="8" t="s">
        <v>42</v>
      </c>
      <c r="G47" s="8" t="s">
        <v>103</v>
      </c>
      <c r="H47" s="8" t="s">
        <v>220</v>
      </c>
      <c r="I47" s="33" t="s">
        <v>221</v>
      </c>
      <c r="J47" s="9"/>
      <c r="K47" s="9">
        <v>9.852832686E9</v>
      </c>
      <c r="L47" s="9" t="s">
        <v>382</v>
      </c>
      <c r="M47" s="8">
        <v>3537.0</v>
      </c>
      <c r="N47" s="8" t="s">
        <v>388</v>
      </c>
      <c r="O47" s="8" t="s">
        <v>389</v>
      </c>
      <c r="P47" s="8"/>
      <c r="Q47" s="8" t="s">
        <v>48</v>
      </c>
      <c r="R47" s="8" t="s">
        <v>390</v>
      </c>
      <c r="S47" s="8">
        <v>9.760839279E9</v>
      </c>
      <c r="T47" s="8">
        <v>2.670479E7</v>
      </c>
      <c r="U47" s="8">
        <v>1.9328319E7</v>
      </c>
      <c r="V47" s="23">
        <v>46067.0</v>
      </c>
      <c r="W47" s="32">
        <f t="shared" si="1"/>
        <v>46247</v>
      </c>
      <c r="X47" s="8" t="s">
        <v>63</v>
      </c>
      <c r="Y47" s="7" t="str">
        <f t="shared" si="2"/>
        <v>Active</v>
      </c>
      <c r="Z47" s="8">
        <f t="shared" si="3"/>
        <v>132</v>
      </c>
      <c r="AA47" s="7">
        <v>46183.0</v>
      </c>
      <c r="AB47" s="8" t="s">
        <v>391</v>
      </c>
      <c r="AC47" s="8">
        <v>9.852832686E9</v>
      </c>
      <c r="AD47" s="8" t="s">
        <v>387</v>
      </c>
      <c r="AE47" s="8" t="s">
        <v>382</v>
      </c>
      <c r="AF47" s="8">
        <v>8.61128066875813E14</v>
      </c>
      <c r="AG47" s="8"/>
      <c r="AH47" s="10"/>
      <c r="AI47" s="8">
        <v>1.012223E7</v>
      </c>
      <c r="AJ47" s="8">
        <v>4.5114399E7</v>
      </c>
      <c r="AK47" s="24">
        <v>0.6527777777777778</v>
      </c>
      <c r="AL47" s="22"/>
      <c r="AM47" s="22"/>
    </row>
    <row r="48" ht="22.5" customHeight="1">
      <c r="A48" s="7"/>
      <c r="B48" s="8" t="s">
        <v>39</v>
      </c>
      <c r="C48" s="8" t="s">
        <v>40</v>
      </c>
      <c r="D48" s="9">
        <v>98512.0</v>
      </c>
      <c r="E48" s="8" t="s">
        <v>41</v>
      </c>
      <c r="F48" s="8" t="s">
        <v>42</v>
      </c>
      <c r="G48" s="8" t="s">
        <v>103</v>
      </c>
      <c r="H48" s="8" t="s">
        <v>44</v>
      </c>
      <c r="I48" s="9" t="s">
        <v>45</v>
      </c>
      <c r="J48" s="9"/>
      <c r="K48" s="9">
        <v>9.808830619E9</v>
      </c>
      <c r="L48" s="9" t="s">
        <v>46</v>
      </c>
      <c r="M48" s="8">
        <v>5858.0</v>
      </c>
      <c r="N48" s="8" t="s">
        <v>392</v>
      </c>
      <c r="O48" s="8" t="s">
        <v>393</v>
      </c>
      <c r="P48" s="8"/>
      <c r="Q48" s="8" t="s">
        <v>48</v>
      </c>
      <c r="R48" s="8" t="s">
        <v>394</v>
      </c>
      <c r="S48" s="8">
        <v>9.760837596E9</v>
      </c>
      <c r="T48" s="8">
        <v>8.911314E7</v>
      </c>
      <c r="U48" s="8">
        <v>3.0020108E7</v>
      </c>
      <c r="V48" s="23">
        <v>45903.0</v>
      </c>
      <c r="W48" s="32">
        <f t="shared" si="1"/>
        <v>46083</v>
      </c>
      <c r="X48" s="8" t="s">
        <v>50</v>
      </c>
      <c r="Y48" s="7" t="str">
        <f t="shared" si="2"/>
        <v>Expired</v>
      </c>
      <c r="Z48" s="8">
        <f t="shared" si="3"/>
        <v>0</v>
      </c>
      <c r="AA48" s="7">
        <v>46080.0</v>
      </c>
      <c r="AB48" s="8" t="s">
        <v>395</v>
      </c>
      <c r="AC48" s="8"/>
      <c r="AD48" s="8"/>
      <c r="AE48" s="8"/>
      <c r="AF48" s="8"/>
      <c r="AG48" s="8"/>
      <c r="AH48" s="10"/>
      <c r="AI48" s="10"/>
      <c r="AJ48" s="10"/>
      <c r="AK48" s="10"/>
      <c r="AL48" s="10"/>
      <c r="AM48" s="10"/>
    </row>
    <row r="49" ht="22.5" customHeight="1">
      <c r="A49" s="7"/>
      <c r="B49" s="8" t="s">
        <v>396</v>
      </c>
      <c r="C49" s="8" t="s">
        <v>230</v>
      </c>
      <c r="D49" s="9">
        <v>9.85402305E9</v>
      </c>
      <c r="E49" s="8" t="s">
        <v>397</v>
      </c>
      <c r="F49" s="8" t="s">
        <v>42</v>
      </c>
      <c r="G49" s="8" t="s">
        <v>103</v>
      </c>
      <c r="H49" s="8" t="s">
        <v>232</v>
      </c>
      <c r="I49" s="9" t="s">
        <v>319</v>
      </c>
      <c r="J49" s="9"/>
      <c r="K49" s="9">
        <v>9.85402305E9</v>
      </c>
      <c r="L49" s="9" t="s">
        <v>398</v>
      </c>
      <c r="M49" s="8">
        <v>2557.0</v>
      </c>
      <c r="N49" s="8" t="s">
        <v>399</v>
      </c>
      <c r="O49" s="8" t="s">
        <v>400</v>
      </c>
      <c r="P49" s="8"/>
      <c r="Q49" s="8" t="s">
        <v>48</v>
      </c>
      <c r="R49" s="8" t="s">
        <v>401</v>
      </c>
      <c r="S49" s="13">
        <v>9.760842861E9</v>
      </c>
      <c r="T49" s="13">
        <v>3.1164303E7</v>
      </c>
      <c r="U49" s="8">
        <v>1.8925133E7</v>
      </c>
      <c r="V49" s="23">
        <v>46063.0</v>
      </c>
      <c r="W49" s="32">
        <f t="shared" si="1"/>
        <v>46093</v>
      </c>
      <c r="X49" s="8" t="s">
        <v>137</v>
      </c>
      <c r="Y49" s="7" t="str">
        <f t="shared" si="2"/>
        <v>Expired</v>
      </c>
      <c r="Z49" s="8">
        <f t="shared" si="3"/>
        <v>0</v>
      </c>
      <c r="AA49" s="8" t="s">
        <v>402</v>
      </c>
      <c r="AB49" s="8" t="s">
        <v>403</v>
      </c>
      <c r="AC49" s="8" t="s">
        <v>404</v>
      </c>
      <c r="AD49" s="8"/>
      <c r="AE49" s="8"/>
      <c r="AF49" s="8"/>
      <c r="AG49" s="8"/>
      <c r="AH49" s="10"/>
      <c r="AI49" s="8">
        <v>2.5152705E7</v>
      </c>
      <c r="AJ49" s="10"/>
      <c r="AK49" s="10"/>
      <c r="AL49" s="10"/>
      <c r="AM49" s="10"/>
    </row>
    <row r="50" ht="22.5" customHeight="1">
      <c r="A50" s="7"/>
      <c r="B50" s="8" t="s">
        <v>396</v>
      </c>
      <c r="C50" s="8" t="s">
        <v>230</v>
      </c>
      <c r="D50" s="9">
        <v>9.85402305E9</v>
      </c>
      <c r="E50" s="8" t="s">
        <v>397</v>
      </c>
      <c r="F50" s="8" t="s">
        <v>42</v>
      </c>
      <c r="G50" s="8" t="s">
        <v>103</v>
      </c>
      <c r="H50" s="8" t="s">
        <v>232</v>
      </c>
      <c r="I50" s="9" t="s">
        <v>319</v>
      </c>
      <c r="J50" s="9"/>
      <c r="K50" s="9">
        <v>9.85402305E9</v>
      </c>
      <c r="L50" s="9" t="s">
        <v>398</v>
      </c>
      <c r="M50" s="8">
        <v>2558.0</v>
      </c>
      <c r="N50" s="8" t="s">
        <v>405</v>
      </c>
      <c r="O50" s="8" t="s">
        <v>406</v>
      </c>
      <c r="P50" s="8"/>
      <c r="Q50" s="8" t="s">
        <v>48</v>
      </c>
      <c r="R50" s="29" t="s">
        <v>407</v>
      </c>
      <c r="S50" s="8"/>
      <c r="T50" s="29">
        <v>9.3083102E7</v>
      </c>
      <c r="U50" s="29">
        <v>2.0842112E7</v>
      </c>
      <c r="V50" s="23">
        <v>46063.0</v>
      </c>
      <c r="W50" s="32">
        <f t="shared" si="1"/>
        <v>46093</v>
      </c>
      <c r="X50" s="8" t="s">
        <v>137</v>
      </c>
      <c r="Y50" s="7" t="str">
        <f t="shared" si="2"/>
        <v>Expired</v>
      </c>
      <c r="Z50" s="8">
        <f t="shared" si="3"/>
        <v>0</v>
      </c>
      <c r="AA50" s="7">
        <v>46132.0</v>
      </c>
      <c r="AB50" s="8" t="s">
        <v>408</v>
      </c>
      <c r="AC50" s="8" t="s">
        <v>409</v>
      </c>
      <c r="AD50" s="8"/>
      <c r="AE50" s="8"/>
      <c r="AF50" s="8"/>
      <c r="AG50" s="8"/>
      <c r="AH50" s="10"/>
      <c r="AI50" s="8">
        <v>2.7059207E7</v>
      </c>
      <c r="AJ50" s="8">
        <v>4.142257E7</v>
      </c>
      <c r="AK50" s="10"/>
      <c r="AL50" s="10"/>
      <c r="AM50" s="10"/>
    </row>
    <row r="51" ht="22.5" customHeight="1">
      <c r="A51" s="26"/>
      <c r="B51" s="13" t="s">
        <v>410</v>
      </c>
      <c r="C51" s="13" t="s">
        <v>230</v>
      </c>
      <c r="D51" s="19">
        <v>9.814875375E9</v>
      </c>
      <c r="E51" s="13" t="s">
        <v>411</v>
      </c>
      <c r="F51" s="8" t="s">
        <v>42</v>
      </c>
      <c r="G51" s="13" t="s">
        <v>103</v>
      </c>
      <c r="H51" s="13" t="s">
        <v>232</v>
      </c>
      <c r="I51" s="19" t="s">
        <v>45</v>
      </c>
      <c r="J51" s="19"/>
      <c r="K51" s="19">
        <v>9.85402305E9</v>
      </c>
      <c r="L51" s="19" t="s">
        <v>398</v>
      </c>
      <c r="M51" s="13">
        <v>156.0</v>
      </c>
      <c r="N51" s="13" t="s">
        <v>412</v>
      </c>
      <c r="O51" s="13" t="s">
        <v>413</v>
      </c>
      <c r="P51" s="13"/>
      <c r="Q51" s="13" t="s">
        <v>48</v>
      </c>
      <c r="R51" s="35" t="s">
        <v>414</v>
      </c>
      <c r="S51" s="13">
        <v>9.760844715E9</v>
      </c>
      <c r="T51" s="13">
        <v>1.9249398E7</v>
      </c>
      <c r="U51" s="13">
        <v>2.0287854E7</v>
      </c>
      <c r="V51" s="23">
        <v>46100.0</v>
      </c>
      <c r="W51" s="32">
        <f t="shared" si="1"/>
        <v>46130</v>
      </c>
      <c r="X51" s="13" t="s">
        <v>137</v>
      </c>
      <c r="Y51" s="7" t="str">
        <f t="shared" si="2"/>
        <v>Active</v>
      </c>
      <c r="Z51" s="8">
        <f t="shared" si="3"/>
        <v>15</v>
      </c>
      <c r="AA51" s="26">
        <v>46246.0</v>
      </c>
      <c r="AB51" s="13" t="s">
        <v>415</v>
      </c>
      <c r="AC51" s="13">
        <v>9.814875375E9</v>
      </c>
      <c r="AD51" s="13"/>
      <c r="AE51" s="13"/>
      <c r="AF51" s="13"/>
      <c r="AG51" s="13"/>
    </row>
    <row r="52" ht="22.5" customHeight="1">
      <c r="A52" s="26"/>
      <c r="B52" s="13" t="s">
        <v>410</v>
      </c>
      <c r="C52" s="13" t="s">
        <v>230</v>
      </c>
      <c r="D52" s="19">
        <v>9.814875375E9</v>
      </c>
      <c r="E52" s="13" t="s">
        <v>411</v>
      </c>
      <c r="F52" s="8" t="s">
        <v>42</v>
      </c>
      <c r="G52" s="13" t="s">
        <v>103</v>
      </c>
      <c r="H52" s="13" t="s">
        <v>232</v>
      </c>
      <c r="I52" s="19" t="s">
        <v>45</v>
      </c>
      <c r="J52" s="19"/>
      <c r="K52" s="19" t="s">
        <v>235</v>
      </c>
      <c r="L52" s="19" t="s">
        <v>236</v>
      </c>
      <c r="M52" s="13">
        <v>157.0</v>
      </c>
      <c r="N52" s="13" t="s">
        <v>416</v>
      </c>
      <c r="O52" s="13" t="s">
        <v>417</v>
      </c>
      <c r="P52" s="13"/>
      <c r="Q52" s="13" t="s">
        <v>48</v>
      </c>
      <c r="R52" s="35" t="s">
        <v>418</v>
      </c>
      <c r="S52" s="8">
        <v>9.760835209E9</v>
      </c>
      <c r="T52" s="13">
        <v>9.6384155E7</v>
      </c>
      <c r="U52" s="13">
        <v>9.8686277E7</v>
      </c>
      <c r="V52" s="23">
        <v>46100.0</v>
      </c>
      <c r="W52" s="32">
        <f t="shared" si="1"/>
        <v>46130</v>
      </c>
      <c r="X52" s="13" t="s">
        <v>137</v>
      </c>
      <c r="Y52" s="7" t="str">
        <f t="shared" si="2"/>
        <v>Active</v>
      </c>
      <c r="Z52" s="8">
        <f t="shared" si="3"/>
        <v>15</v>
      </c>
      <c r="AA52" s="26">
        <v>46211.0</v>
      </c>
      <c r="AB52" s="13" t="s">
        <v>419</v>
      </c>
      <c r="AC52" s="13">
        <v>9.814875375E9</v>
      </c>
      <c r="AD52" s="13"/>
      <c r="AE52" s="13"/>
      <c r="AF52" s="13"/>
      <c r="AG52" s="13"/>
    </row>
    <row r="53" ht="22.5" hidden="1" customHeight="1">
      <c r="A53" s="7"/>
      <c r="B53" s="8" t="s">
        <v>420</v>
      </c>
      <c r="C53" s="8" t="s">
        <v>421</v>
      </c>
      <c r="D53" s="9">
        <v>9.818072472E9</v>
      </c>
      <c r="E53" s="8" t="s">
        <v>422</v>
      </c>
      <c r="F53" s="8" t="s">
        <v>42</v>
      </c>
      <c r="G53" s="8" t="s">
        <v>423</v>
      </c>
      <c r="H53" s="8" t="s">
        <v>424</v>
      </c>
      <c r="I53" s="9" t="s">
        <v>425</v>
      </c>
      <c r="J53" s="9"/>
      <c r="K53" s="9"/>
      <c r="L53" s="9"/>
      <c r="M53" s="8">
        <v>226.0</v>
      </c>
      <c r="N53" s="8"/>
      <c r="O53" s="8"/>
      <c r="P53" s="8"/>
      <c r="Q53" s="8" t="s">
        <v>48</v>
      </c>
      <c r="R53" s="8"/>
      <c r="S53" s="8">
        <v>9.760837804E9</v>
      </c>
      <c r="T53" s="10"/>
      <c r="U53" s="10"/>
      <c r="V53" s="23">
        <v>45679.0</v>
      </c>
      <c r="W53" s="32">
        <f t="shared" si="1"/>
        <v>45859</v>
      </c>
      <c r="X53" s="8" t="s">
        <v>63</v>
      </c>
      <c r="Y53" s="7" t="str">
        <f t="shared" si="2"/>
        <v>Expired</v>
      </c>
      <c r="Z53" s="8">
        <f t="shared" si="3"/>
        <v>0</v>
      </c>
      <c r="AA53" s="7">
        <f>AA52-180</f>
        <v>46031</v>
      </c>
      <c r="AB53" s="8" t="s">
        <v>426</v>
      </c>
      <c r="AC53" s="8"/>
      <c r="AD53" s="8"/>
      <c r="AE53" s="8"/>
      <c r="AF53" s="8"/>
      <c r="AG53" s="8"/>
      <c r="AH53" s="10"/>
      <c r="AI53" s="10"/>
      <c r="AJ53" s="10"/>
      <c r="AK53" s="10"/>
      <c r="AL53" s="10"/>
      <c r="AM53" s="10"/>
    </row>
    <row r="54" ht="22.5" hidden="1" customHeight="1">
      <c r="A54" s="26"/>
      <c r="B54" s="13" t="s">
        <v>427</v>
      </c>
      <c r="C54" s="13"/>
      <c r="D54" s="19"/>
      <c r="E54" s="13" t="s">
        <v>428</v>
      </c>
      <c r="F54" s="8" t="s">
        <v>42</v>
      </c>
      <c r="G54" s="13" t="s">
        <v>103</v>
      </c>
      <c r="H54" s="13" t="s">
        <v>44</v>
      </c>
      <c r="I54" s="19"/>
      <c r="J54" s="19"/>
      <c r="K54" s="19"/>
      <c r="L54" s="19"/>
      <c r="M54" s="13">
        <v>3456.0</v>
      </c>
      <c r="N54" s="13"/>
      <c r="O54" s="13"/>
      <c r="P54" s="13"/>
      <c r="Q54" s="13"/>
      <c r="R54" s="13"/>
      <c r="S54" s="13">
        <v>9.760837493E9</v>
      </c>
      <c r="V54" s="25">
        <v>45614.0</v>
      </c>
      <c r="W54" s="32">
        <f t="shared" si="1"/>
        <v>45794</v>
      </c>
      <c r="X54" s="8" t="s">
        <v>63</v>
      </c>
      <c r="Y54" s="7" t="str">
        <f t="shared" si="2"/>
        <v>Expired</v>
      </c>
      <c r="Z54" s="8">
        <f t="shared" si="3"/>
        <v>0</v>
      </c>
      <c r="AA54" s="26"/>
      <c r="AB54" s="13" t="s">
        <v>429</v>
      </c>
      <c r="AC54" s="13"/>
      <c r="AD54" s="13"/>
      <c r="AE54" s="13"/>
      <c r="AF54" s="13"/>
      <c r="AG54" s="13"/>
      <c r="AH54" s="13" t="s">
        <v>430</v>
      </c>
    </row>
    <row r="55" ht="22.5" hidden="1" customHeight="1">
      <c r="A55" s="26"/>
      <c r="B55" s="13" t="s">
        <v>431</v>
      </c>
      <c r="C55" s="13" t="s">
        <v>346</v>
      </c>
      <c r="D55" s="19">
        <v>9.857037344E9</v>
      </c>
      <c r="E55" s="13" t="s">
        <v>432</v>
      </c>
      <c r="F55" s="8" t="s">
        <v>42</v>
      </c>
      <c r="G55" s="13" t="s">
        <v>103</v>
      </c>
      <c r="H55" s="13" t="s">
        <v>433</v>
      </c>
      <c r="I55" s="19"/>
      <c r="J55" s="19"/>
      <c r="K55" s="19"/>
      <c r="L55" s="19"/>
      <c r="M55" s="13">
        <v>1925.0</v>
      </c>
      <c r="N55" s="13"/>
      <c r="O55" s="13"/>
      <c r="P55" s="13"/>
      <c r="Q55" s="13"/>
      <c r="R55" s="13"/>
      <c r="S55" s="13">
        <v>9.760837809E9</v>
      </c>
      <c r="V55" s="25">
        <v>45678.0</v>
      </c>
      <c r="W55" s="32">
        <f t="shared" si="1"/>
        <v>45858</v>
      </c>
      <c r="X55" s="13" t="s">
        <v>63</v>
      </c>
      <c r="Y55" s="7" t="str">
        <f t="shared" si="2"/>
        <v>Expired</v>
      </c>
      <c r="Z55" s="8">
        <f t="shared" si="3"/>
        <v>0</v>
      </c>
      <c r="AB55" s="13" t="s">
        <v>434</v>
      </c>
      <c r="AC55" s="13"/>
      <c r="AD55" s="13"/>
      <c r="AE55" s="13"/>
      <c r="AF55" s="13"/>
      <c r="AG55" s="13"/>
    </row>
    <row r="56" ht="22.5" customHeight="1">
      <c r="A56" s="7">
        <v>45716.0</v>
      </c>
      <c r="B56" s="8" t="s">
        <v>435</v>
      </c>
      <c r="C56" s="8" t="s">
        <v>436</v>
      </c>
      <c r="D56" s="9">
        <v>9.810336441E9</v>
      </c>
      <c r="E56" s="8" t="s">
        <v>437</v>
      </c>
      <c r="F56" s="8" t="s">
        <v>42</v>
      </c>
      <c r="G56" s="8" t="s">
        <v>103</v>
      </c>
      <c r="H56" s="8" t="s">
        <v>438</v>
      </c>
      <c r="I56" s="9" t="s">
        <v>45</v>
      </c>
      <c r="J56" s="9"/>
      <c r="K56" s="9">
        <v>9.810336441E9</v>
      </c>
      <c r="L56" s="9" t="s">
        <v>439</v>
      </c>
      <c r="M56" s="8">
        <v>3360.0</v>
      </c>
      <c r="N56" s="8" t="s">
        <v>440</v>
      </c>
      <c r="O56" s="8" t="s">
        <v>441</v>
      </c>
      <c r="P56" s="8"/>
      <c r="Q56" s="8" t="s">
        <v>48</v>
      </c>
      <c r="R56" s="8"/>
      <c r="S56" s="8" t="s">
        <v>442</v>
      </c>
      <c r="T56" s="8">
        <v>3.910243E7</v>
      </c>
      <c r="U56" s="10"/>
      <c r="V56" s="23">
        <v>46069.0</v>
      </c>
      <c r="W56" s="32">
        <f t="shared" si="1"/>
        <v>46249</v>
      </c>
      <c r="X56" s="8" t="s">
        <v>63</v>
      </c>
      <c r="Y56" s="7" t="str">
        <f t="shared" si="2"/>
        <v>Active</v>
      </c>
      <c r="Z56" s="8">
        <f t="shared" si="3"/>
        <v>134</v>
      </c>
      <c r="AA56" s="8" t="s">
        <v>443</v>
      </c>
      <c r="AB56" s="8" t="s">
        <v>444</v>
      </c>
      <c r="AC56" s="8" t="s">
        <v>445</v>
      </c>
      <c r="AD56" s="8" t="s">
        <v>446</v>
      </c>
      <c r="AE56" s="8" t="s">
        <v>439</v>
      </c>
      <c r="AF56" s="8">
        <v>8.61128060545008E14</v>
      </c>
      <c r="AG56" s="8"/>
      <c r="AH56" s="10"/>
      <c r="AI56" s="10"/>
      <c r="AJ56" s="10"/>
      <c r="AK56" s="10"/>
      <c r="AL56" s="10"/>
      <c r="AM56" s="10"/>
    </row>
    <row r="57" ht="22.5" customHeight="1">
      <c r="A57" s="7"/>
      <c r="B57" s="8" t="s">
        <v>435</v>
      </c>
      <c r="C57" s="8" t="s">
        <v>436</v>
      </c>
      <c r="D57" s="9">
        <v>9.810336441E9</v>
      </c>
      <c r="E57" s="8" t="s">
        <v>447</v>
      </c>
      <c r="F57" s="8" t="s">
        <v>42</v>
      </c>
      <c r="G57" s="8" t="s">
        <v>103</v>
      </c>
      <c r="H57" s="8" t="s">
        <v>438</v>
      </c>
      <c r="I57" s="9" t="s">
        <v>45</v>
      </c>
      <c r="J57" s="9"/>
      <c r="K57" s="9">
        <v>9.810336441E9</v>
      </c>
      <c r="L57" s="9" t="s">
        <v>439</v>
      </c>
      <c r="M57" s="8">
        <v>3661.0</v>
      </c>
      <c r="N57" s="8" t="s">
        <v>448</v>
      </c>
      <c r="O57" s="8" t="s">
        <v>449</v>
      </c>
      <c r="P57" s="8"/>
      <c r="Q57" s="8" t="s">
        <v>48</v>
      </c>
      <c r="R57" s="8" t="s">
        <v>450</v>
      </c>
      <c r="S57" s="8">
        <v>9.760837713E9</v>
      </c>
      <c r="T57" s="8">
        <v>9.1813495E7</v>
      </c>
      <c r="U57" s="8">
        <v>3.5033831E7</v>
      </c>
      <c r="V57" s="23">
        <v>46091.0</v>
      </c>
      <c r="W57" s="32">
        <f t="shared" si="1"/>
        <v>46271</v>
      </c>
      <c r="X57" s="8" t="s">
        <v>50</v>
      </c>
      <c r="Y57" s="7" t="str">
        <f t="shared" si="2"/>
        <v>Active</v>
      </c>
      <c r="Z57" s="8">
        <f t="shared" si="3"/>
        <v>156</v>
      </c>
      <c r="AA57" s="7">
        <v>46239.0</v>
      </c>
      <c r="AB57" s="8" t="s">
        <v>451</v>
      </c>
      <c r="AC57" s="8" t="s">
        <v>452</v>
      </c>
      <c r="AD57" s="8" t="s">
        <v>453</v>
      </c>
      <c r="AE57" s="8" t="s">
        <v>439</v>
      </c>
      <c r="AF57" s="8">
        <v>3.53701096166927E14</v>
      </c>
      <c r="AG57" s="8"/>
      <c r="AH57" s="10"/>
      <c r="AI57" s="8">
        <v>3.4121143E7</v>
      </c>
      <c r="AJ57" s="8">
        <v>1.769923E7</v>
      </c>
      <c r="AK57" s="10"/>
      <c r="AL57" s="10"/>
      <c r="AM57" s="10"/>
    </row>
    <row r="58" ht="22.5" customHeight="1">
      <c r="A58" s="7"/>
      <c r="B58" s="8" t="s">
        <v>454</v>
      </c>
      <c r="C58" s="8" t="s">
        <v>303</v>
      </c>
      <c r="D58" s="9">
        <v>9.854020732E9</v>
      </c>
      <c r="E58" s="8" t="s">
        <v>455</v>
      </c>
      <c r="F58" s="8" t="s">
        <v>42</v>
      </c>
      <c r="G58" s="8" t="s">
        <v>103</v>
      </c>
      <c r="H58" s="8" t="s">
        <v>220</v>
      </c>
      <c r="I58" s="33" t="s">
        <v>221</v>
      </c>
      <c r="J58" s="9"/>
      <c r="K58" s="9"/>
      <c r="L58" s="9"/>
      <c r="M58" s="8">
        <v>5629.0</v>
      </c>
      <c r="N58" s="8"/>
      <c r="O58" s="8"/>
      <c r="P58" s="8"/>
      <c r="Q58" s="8" t="s">
        <v>48</v>
      </c>
      <c r="R58" s="29" t="s">
        <v>456</v>
      </c>
      <c r="S58" s="36">
        <v>9.760839252E9</v>
      </c>
      <c r="T58" s="29">
        <v>5.6191292E7</v>
      </c>
      <c r="U58" s="29">
        <v>9.9229664E7</v>
      </c>
      <c r="V58" s="7">
        <v>46033.0</v>
      </c>
      <c r="W58" s="12">
        <f t="shared" si="1"/>
        <v>46063</v>
      </c>
      <c r="X58" s="8" t="s">
        <v>137</v>
      </c>
      <c r="Y58" s="7" t="str">
        <f t="shared" si="2"/>
        <v>Expired</v>
      </c>
      <c r="Z58" s="8">
        <f t="shared" si="3"/>
        <v>0</v>
      </c>
      <c r="AA58" s="10"/>
      <c r="AB58" s="8" t="s">
        <v>457</v>
      </c>
      <c r="AC58" s="8" t="s">
        <v>458</v>
      </c>
      <c r="AD58" s="8"/>
      <c r="AE58" s="8"/>
      <c r="AF58" s="8"/>
      <c r="AG58" s="8"/>
      <c r="AH58" s="8" t="s">
        <v>459</v>
      </c>
      <c r="AI58" s="8">
        <v>2.9679169E7</v>
      </c>
      <c r="AJ58" s="8">
        <v>1.4717277E7</v>
      </c>
      <c r="AK58" s="10"/>
      <c r="AL58" s="10"/>
      <c r="AM58" s="10"/>
    </row>
    <row r="59" ht="22.5" customHeight="1">
      <c r="A59" s="7"/>
      <c r="B59" s="8" t="s">
        <v>410</v>
      </c>
      <c r="C59" s="8" t="s">
        <v>230</v>
      </c>
      <c r="D59" s="9">
        <v>9.814875375E9</v>
      </c>
      <c r="E59" s="8" t="s">
        <v>460</v>
      </c>
      <c r="F59" s="8" t="s">
        <v>42</v>
      </c>
      <c r="G59" s="8" t="s">
        <v>103</v>
      </c>
      <c r="H59" s="8" t="s">
        <v>461</v>
      </c>
      <c r="I59" s="9" t="s">
        <v>45</v>
      </c>
      <c r="J59" s="9"/>
      <c r="K59" s="9" t="s">
        <v>462</v>
      </c>
      <c r="L59" s="9" t="s">
        <v>236</v>
      </c>
      <c r="M59" s="8">
        <v>344.0</v>
      </c>
      <c r="N59" s="8" t="s">
        <v>463</v>
      </c>
      <c r="O59" s="8" t="s">
        <v>464</v>
      </c>
      <c r="P59" s="8"/>
      <c r="Q59" s="8" t="s">
        <v>48</v>
      </c>
      <c r="R59" s="8" t="s">
        <v>465</v>
      </c>
      <c r="T59" s="8">
        <v>1.556512E7</v>
      </c>
      <c r="U59" s="8">
        <v>1.5512253E7</v>
      </c>
      <c r="V59" s="23">
        <v>46054.0</v>
      </c>
      <c r="W59" s="32">
        <f t="shared" si="1"/>
        <v>46084</v>
      </c>
      <c r="X59" s="8" t="s">
        <v>137</v>
      </c>
      <c r="Y59" s="7" t="str">
        <f t="shared" si="2"/>
        <v>Expired</v>
      </c>
      <c r="Z59" s="8">
        <f t="shared" si="3"/>
        <v>0</v>
      </c>
      <c r="AA59" s="10"/>
      <c r="AB59" s="8" t="s">
        <v>466</v>
      </c>
      <c r="AC59" s="8">
        <v>9.814875375E9</v>
      </c>
      <c r="AD59" s="8"/>
      <c r="AE59" s="8"/>
      <c r="AF59" s="8"/>
      <c r="AG59" s="8"/>
      <c r="AH59" s="10"/>
      <c r="AI59" s="8">
        <v>1.556512E7</v>
      </c>
      <c r="AJ59" s="8">
        <v>1.5512253E7</v>
      </c>
      <c r="AK59" s="10"/>
      <c r="AL59" s="10"/>
      <c r="AM59" s="10"/>
    </row>
    <row r="60" ht="22.5" hidden="1" customHeight="1">
      <c r="A60" s="7"/>
      <c r="B60" s="8" t="s">
        <v>467</v>
      </c>
      <c r="C60" s="8" t="s">
        <v>468</v>
      </c>
      <c r="D60" s="9">
        <v>9.820217234E9</v>
      </c>
      <c r="E60" s="8" t="s">
        <v>469</v>
      </c>
      <c r="F60" s="8" t="s">
        <v>42</v>
      </c>
      <c r="G60" s="8" t="s">
        <v>103</v>
      </c>
      <c r="H60" s="8" t="s">
        <v>470</v>
      </c>
      <c r="I60" s="9" t="s">
        <v>471</v>
      </c>
      <c r="J60" s="9"/>
      <c r="K60" s="9">
        <v>9.820217234E9</v>
      </c>
      <c r="L60" s="9" t="s">
        <v>472</v>
      </c>
      <c r="M60" s="8">
        <v>161.0</v>
      </c>
      <c r="N60" s="8" t="s">
        <v>473</v>
      </c>
      <c r="O60" s="8" t="s">
        <v>474</v>
      </c>
      <c r="P60" s="8"/>
      <c r="Q60" s="8" t="s">
        <v>48</v>
      </c>
      <c r="R60" s="13" t="s">
        <v>475</v>
      </c>
      <c r="S60" s="11"/>
      <c r="T60" s="13">
        <v>3.0243303E7</v>
      </c>
      <c r="U60" s="13">
        <v>1.8715652E7</v>
      </c>
      <c r="V60" s="23"/>
      <c r="W60" s="27" t="str">
        <f t="shared" si="1"/>
        <v/>
      </c>
      <c r="X60" s="8" t="s">
        <v>137</v>
      </c>
      <c r="Y60" s="7" t="str">
        <f t="shared" si="2"/>
        <v>Expired</v>
      </c>
      <c r="Z60" s="8">
        <f t="shared" si="3"/>
        <v>0</v>
      </c>
      <c r="AA60" s="7"/>
      <c r="AB60" s="8" t="s">
        <v>476</v>
      </c>
      <c r="AC60" s="8" t="s">
        <v>477</v>
      </c>
      <c r="AD60" s="8"/>
      <c r="AE60" s="8"/>
      <c r="AF60" s="8"/>
      <c r="AG60" s="8"/>
      <c r="AH60" s="10"/>
      <c r="AI60" s="8">
        <v>2.6903301E7</v>
      </c>
      <c r="AJ60" s="8">
        <v>1.7931115E7</v>
      </c>
      <c r="AK60" s="24">
        <v>0.24305555555555555</v>
      </c>
      <c r="AL60" s="22"/>
      <c r="AM60" s="22"/>
    </row>
    <row r="61" ht="22.5" hidden="1" customHeight="1">
      <c r="A61" s="26"/>
      <c r="B61" s="13" t="s">
        <v>478</v>
      </c>
      <c r="C61" s="13" t="s">
        <v>479</v>
      </c>
      <c r="D61" s="19">
        <v>9.858023579E9</v>
      </c>
      <c r="E61" s="13" t="s">
        <v>480</v>
      </c>
      <c r="F61" s="8" t="s">
        <v>42</v>
      </c>
      <c r="G61" s="13" t="s">
        <v>103</v>
      </c>
      <c r="H61" s="13" t="s">
        <v>70</v>
      </c>
      <c r="I61" s="19" t="s">
        <v>45</v>
      </c>
      <c r="J61" s="19"/>
      <c r="K61" s="19">
        <v>9.858072555E9</v>
      </c>
      <c r="L61" s="19" t="s">
        <v>481</v>
      </c>
      <c r="M61" s="13">
        <v>4059.0</v>
      </c>
      <c r="N61" s="13" t="s">
        <v>482</v>
      </c>
      <c r="O61" s="13" t="s">
        <v>483</v>
      </c>
      <c r="P61" s="13"/>
      <c r="Q61" s="13" t="s">
        <v>252</v>
      </c>
      <c r="R61" s="13">
        <v>2.1264209687E10</v>
      </c>
      <c r="S61" s="13">
        <v>9.703124905E9</v>
      </c>
      <c r="V61" s="25"/>
      <c r="W61" s="27" t="str">
        <f t="shared" si="1"/>
        <v/>
      </c>
      <c r="X61" s="13" t="s">
        <v>98</v>
      </c>
      <c r="Y61" s="7" t="str">
        <f t="shared" si="2"/>
        <v>Expired</v>
      </c>
      <c r="Z61" s="8">
        <f t="shared" si="3"/>
        <v>0</v>
      </c>
      <c r="AB61" s="13" t="s">
        <v>484</v>
      </c>
      <c r="AC61" s="13" t="s">
        <v>485</v>
      </c>
      <c r="AD61" s="13"/>
      <c r="AE61" s="13"/>
      <c r="AF61" s="13"/>
      <c r="AG61" s="13"/>
    </row>
    <row r="62" ht="22.5" hidden="1" customHeight="1">
      <c r="A62" s="26"/>
      <c r="B62" s="13" t="s">
        <v>486</v>
      </c>
      <c r="C62" s="13" t="s">
        <v>346</v>
      </c>
      <c r="D62" s="19">
        <v>9.847036678E9</v>
      </c>
      <c r="E62" s="13" t="s">
        <v>487</v>
      </c>
      <c r="F62" s="8" t="s">
        <v>42</v>
      </c>
      <c r="G62" s="13" t="s">
        <v>103</v>
      </c>
      <c r="H62" s="13" t="s">
        <v>433</v>
      </c>
      <c r="I62" s="19" t="s">
        <v>45</v>
      </c>
      <c r="J62" s="19"/>
      <c r="K62" s="19">
        <v>9.847036678E9</v>
      </c>
      <c r="L62" s="19" t="s">
        <v>488</v>
      </c>
      <c r="M62" s="13">
        <v>135.0</v>
      </c>
      <c r="N62" s="13" t="s">
        <v>489</v>
      </c>
      <c r="O62" s="13" t="s">
        <v>490</v>
      </c>
      <c r="P62" s="13"/>
      <c r="Q62" s="13" t="s">
        <v>48</v>
      </c>
      <c r="R62" s="13" t="s">
        <v>491</v>
      </c>
      <c r="S62" s="13">
        <v>9.760835012E9</v>
      </c>
      <c r="T62" s="13">
        <v>2.5269281E7</v>
      </c>
      <c r="U62" s="13">
        <v>2.1237147E7</v>
      </c>
      <c r="V62" s="25"/>
      <c r="W62" s="27" t="str">
        <f t="shared" si="1"/>
        <v/>
      </c>
      <c r="X62" s="13" t="s">
        <v>63</v>
      </c>
      <c r="Y62" s="7" t="str">
        <f t="shared" si="2"/>
        <v>Expired</v>
      </c>
      <c r="Z62" s="8">
        <f t="shared" si="3"/>
        <v>0</v>
      </c>
      <c r="AB62" s="13" t="s">
        <v>492</v>
      </c>
      <c r="AC62" s="13" t="s">
        <v>493</v>
      </c>
      <c r="AD62" s="13"/>
      <c r="AE62" s="13"/>
      <c r="AF62" s="13"/>
      <c r="AG62" s="13"/>
      <c r="AI62" s="13">
        <v>2.5269281E7</v>
      </c>
      <c r="AJ62" s="13">
        <v>2.1237147E7</v>
      </c>
      <c r="AK62" s="37">
        <v>0.6555555555555556</v>
      </c>
    </row>
    <row r="63" ht="22.5" customHeight="1">
      <c r="A63" s="7"/>
      <c r="B63" s="8" t="s">
        <v>494</v>
      </c>
      <c r="C63" s="8" t="s">
        <v>68</v>
      </c>
      <c r="D63" s="9">
        <v>9.858029829E9</v>
      </c>
      <c r="E63" s="8" t="s">
        <v>102</v>
      </c>
      <c r="F63" s="8" t="s">
        <v>42</v>
      </c>
      <c r="G63" s="8" t="s">
        <v>103</v>
      </c>
      <c r="H63" s="8" t="s">
        <v>70</v>
      </c>
      <c r="I63" s="9" t="s">
        <v>45</v>
      </c>
      <c r="J63" s="9"/>
      <c r="K63" s="9" t="s">
        <v>109</v>
      </c>
      <c r="L63" s="9" t="s">
        <v>495</v>
      </c>
      <c r="M63" s="8">
        <v>5708.0</v>
      </c>
      <c r="N63" s="8" t="s">
        <v>496</v>
      </c>
      <c r="O63" s="8" t="s">
        <v>497</v>
      </c>
      <c r="P63" s="8"/>
      <c r="Q63" s="8" t="s">
        <v>48</v>
      </c>
      <c r="R63" s="8" t="s">
        <v>498</v>
      </c>
      <c r="S63" s="8">
        <v>9.760839514E9</v>
      </c>
      <c r="T63" s="8">
        <v>7.0562588E7</v>
      </c>
      <c r="U63" s="7"/>
      <c r="V63" s="7">
        <v>45932.0</v>
      </c>
      <c r="W63" s="12">
        <f t="shared" si="1"/>
        <v>46022</v>
      </c>
      <c r="X63" s="8" t="s">
        <v>499</v>
      </c>
      <c r="Y63" s="7" t="str">
        <f t="shared" si="2"/>
        <v>Expired</v>
      </c>
      <c r="Z63" s="8">
        <f t="shared" si="3"/>
        <v>0</v>
      </c>
      <c r="AA63" s="7"/>
      <c r="AB63" s="8" t="s">
        <v>500</v>
      </c>
      <c r="AC63" s="8" t="s">
        <v>501</v>
      </c>
      <c r="AD63" s="8"/>
      <c r="AE63" s="8"/>
      <c r="AF63" s="8"/>
      <c r="AG63" s="8"/>
      <c r="AH63" s="10"/>
      <c r="AI63" s="10"/>
      <c r="AJ63" s="10"/>
      <c r="AK63" s="10"/>
      <c r="AL63" s="10"/>
      <c r="AM63" s="10"/>
    </row>
    <row r="64" ht="22.5" customHeight="1">
      <c r="A64" s="7"/>
      <c r="B64" s="8" t="s">
        <v>502</v>
      </c>
      <c r="C64" s="8" t="s">
        <v>40</v>
      </c>
      <c r="D64" s="9">
        <v>9.851241778E9</v>
      </c>
      <c r="E64" s="8" t="s">
        <v>503</v>
      </c>
      <c r="F64" s="8" t="s">
        <v>42</v>
      </c>
      <c r="G64" s="8" t="s">
        <v>103</v>
      </c>
      <c r="H64" s="8" t="s">
        <v>504</v>
      </c>
      <c r="I64" s="9" t="s">
        <v>425</v>
      </c>
      <c r="J64" s="9"/>
      <c r="K64" s="9">
        <v>9.851241778E9</v>
      </c>
      <c r="L64" s="9" t="s">
        <v>505</v>
      </c>
      <c r="M64" s="8">
        <v>7767.0</v>
      </c>
      <c r="N64" s="8"/>
      <c r="O64" s="8"/>
      <c r="P64" s="8"/>
      <c r="Q64" s="8" t="s">
        <v>48</v>
      </c>
      <c r="R64" s="8" t="s">
        <v>506</v>
      </c>
      <c r="S64" s="8">
        <v>9.760839488E9</v>
      </c>
      <c r="T64" s="11">
        <v>8.9092688E7</v>
      </c>
      <c r="U64" s="11">
        <v>2.2712223E7</v>
      </c>
      <c r="V64" s="23">
        <v>45974.0</v>
      </c>
      <c r="W64" s="32">
        <f t="shared" si="1"/>
        <v>46154</v>
      </c>
      <c r="X64" s="8" t="s">
        <v>63</v>
      </c>
      <c r="Y64" s="7" t="str">
        <f t="shared" si="2"/>
        <v>Active</v>
      </c>
      <c r="Z64" s="8">
        <f t="shared" si="3"/>
        <v>39</v>
      </c>
      <c r="AA64" s="38">
        <v>46150.0</v>
      </c>
      <c r="AB64" s="8" t="s">
        <v>507</v>
      </c>
      <c r="AC64" s="8"/>
      <c r="AD64" s="8"/>
      <c r="AE64" s="8"/>
      <c r="AF64" s="8"/>
      <c r="AG64" s="8"/>
      <c r="AH64" s="10"/>
      <c r="AI64" s="10"/>
      <c r="AJ64" s="10"/>
      <c r="AK64" s="10"/>
      <c r="AL64" s="10"/>
      <c r="AM64" s="10"/>
    </row>
    <row r="65" ht="22.5" customHeight="1">
      <c r="A65" s="7"/>
      <c r="B65" s="8" t="s">
        <v>508</v>
      </c>
      <c r="C65" s="8" t="s">
        <v>40</v>
      </c>
      <c r="D65" s="9">
        <v>9.851139494E9</v>
      </c>
      <c r="E65" s="8" t="s">
        <v>509</v>
      </c>
      <c r="F65" s="8" t="s">
        <v>42</v>
      </c>
      <c r="G65" s="8" t="s">
        <v>103</v>
      </c>
      <c r="H65" s="8" t="s">
        <v>510</v>
      </c>
      <c r="I65" s="9" t="s">
        <v>425</v>
      </c>
      <c r="J65" s="9"/>
      <c r="K65" s="9">
        <v>9.851139494E9</v>
      </c>
      <c r="L65" s="9" t="s">
        <v>511</v>
      </c>
      <c r="M65" s="8">
        <v>9580.0</v>
      </c>
      <c r="N65" s="8" t="s">
        <v>512</v>
      </c>
      <c r="O65" s="8" t="s">
        <v>513</v>
      </c>
      <c r="P65" s="8"/>
      <c r="Q65" s="8" t="s">
        <v>48</v>
      </c>
      <c r="R65" s="8" t="s">
        <v>514</v>
      </c>
      <c r="S65" s="8">
        <v>9.760837728E9</v>
      </c>
      <c r="T65" s="8">
        <v>9.408103E7</v>
      </c>
      <c r="U65" s="8">
        <v>4806706.0</v>
      </c>
      <c r="V65" s="23">
        <v>46100.0</v>
      </c>
      <c r="W65" s="32">
        <f t="shared" si="1"/>
        <v>46280</v>
      </c>
      <c r="X65" s="8" t="s">
        <v>63</v>
      </c>
      <c r="Y65" s="7" t="str">
        <f t="shared" si="2"/>
        <v>Active</v>
      </c>
      <c r="Z65" s="8">
        <f t="shared" si="3"/>
        <v>165</v>
      </c>
      <c r="AA65" s="7">
        <v>46182.0</v>
      </c>
      <c r="AB65" s="8" t="s">
        <v>515</v>
      </c>
      <c r="AC65" s="8" t="s">
        <v>516</v>
      </c>
      <c r="AD65" s="8"/>
      <c r="AE65" s="8"/>
      <c r="AF65" s="8"/>
      <c r="AG65" s="8"/>
      <c r="AH65" s="10"/>
      <c r="AI65" s="8">
        <v>3.000914E7</v>
      </c>
      <c r="AJ65" s="8">
        <v>6.8551885E7</v>
      </c>
      <c r="AK65" s="24">
        <v>0.30694444444444446</v>
      </c>
      <c r="AL65" s="10"/>
      <c r="AM65" s="10"/>
    </row>
    <row r="66" ht="22.5" customHeight="1">
      <c r="A66" s="7"/>
      <c r="B66" s="8" t="s">
        <v>508</v>
      </c>
      <c r="C66" s="8" t="s">
        <v>40</v>
      </c>
      <c r="D66" s="9">
        <v>9.851139494E9</v>
      </c>
      <c r="E66" s="8" t="s">
        <v>509</v>
      </c>
      <c r="F66" s="8" t="s">
        <v>42</v>
      </c>
      <c r="G66" s="8" t="s">
        <v>103</v>
      </c>
      <c r="H66" s="8" t="s">
        <v>510</v>
      </c>
      <c r="I66" s="9" t="s">
        <v>425</v>
      </c>
      <c r="J66" s="9"/>
      <c r="K66" s="9">
        <v>9.851139494E9</v>
      </c>
      <c r="L66" s="9" t="s">
        <v>511</v>
      </c>
      <c r="M66" s="8">
        <v>9465.0</v>
      </c>
      <c r="N66" s="8" t="s">
        <v>517</v>
      </c>
      <c r="O66" s="8" t="s">
        <v>518</v>
      </c>
      <c r="P66" s="8"/>
      <c r="Q66" s="8" t="s">
        <v>48</v>
      </c>
      <c r="R66" s="8" t="s">
        <v>519</v>
      </c>
      <c r="S66" s="8">
        <v>9.760829268E9</v>
      </c>
      <c r="T66" s="8">
        <v>1.2013164E7</v>
      </c>
      <c r="U66" s="8">
        <v>1.5953541E7</v>
      </c>
      <c r="V66" s="23">
        <v>45942.0</v>
      </c>
      <c r="W66" s="32">
        <f t="shared" si="1"/>
        <v>46122</v>
      </c>
      <c r="X66" s="8" t="s">
        <v>63</v>
      </c>
      <c r="Y66" s="7" t="str">
        <f t="shared" si="2"/>
        <v>Active</v>
      </c>
      <c r="Z66" s="8">
        <f t="shared" si="3"/>
        <v>7</v>
      </c>
      <c r="AA66" s="7">
        <v>46222.0</v>
      </c>
      <c r="AB66" s="8" t="s">
        <v>520</v>
      </c>
      <c r="AC66" s="8" t="s">
        <v>521</v>
      </c>
      <c r="AD66" s="8"/>
      <c r="AE66" s="8"/>
      <c r="AF66" s="8"/>
      <c r="AG66" s="8"/>
      <c r="AH66" s="10"/>
      <c r="AI66" s="8">
        <v>2.9069107E7</v>
      </c>
      <c r="AJ66" s="10"/>
      <c r="AK66" s="24">
        <v>0.8013888888888889</v>
      </c>
      <c r="AL66" s="22"/>
      <c r="AM66" s="22"/>
    </row>
    <row r="67" ht="22.5" customHeight="1">
      <c r="A67" s="7"/>
      <c r="B67" s="8" t="s">
        <v>522</v>
      </c>
      <c r="C67" s="8" t="s">
        <v>40</v>
      </c>
      <c r="D67" s="9">
        <v>9.843012723E9</v>
      </c>
      <c r="E67" s="8" t="s">
        <v>509</v>
      </c>
      <c r="F67" s="8" t="s">
        <v>42</v>
      </c>
      <c r="G67" s="8" t="s">
        <v>103</v>
      </c>
      <c r="H67" s="8" t="s">
        <v>510</v>
      </c>
      <c r="I67" s="9" t="s">
        <v>425</v>
      </c>
      <c r="J67" s="9"/>
      <c r="K67" s="9" t="s">
        <v>523</v>
      </c>
      <c r="L67" s="9" t="s">
        <v>524</v>
      </c>
      <c r="M67" s="8">
        <v>5206.0</v>
      </c>
      <c r="N67" s="8" t="s">
        <v>525</v>
      </c>
      <c r="O67" s="8" t="s">
        <v>526</v>
      </c>
      <c r="P67" s="8"/>
      <c r="Q67" s="8" t="s">
        <v>48</v>
      </c>
      <c r="R67" s="8"/>
      <c r="S67" s="8">
        <v>9.760837752E9</v>
      </c>
      <c r="T67" s="8">
        <v>2.3472952E7</v>
      </c>
      <c r="U67" s="10"/>
      <c r="V67" s="23">
        <v>46096.0</v>
      </c>
      <c r="W67" s="32">
        <f t="shared" si="1"/>
        <v>46276</v>
      </c>
      <c r="X67" s="8" t="s">
        <v>63</v>
      </c>
      <c r="Y67" s="7" t="str">
        <f t="shared" si="2"/>
        <v>Active</v>
      </c>
      <c r="Z67" s="8">
        <f t="shared" si="3"/>
        <v>161</v>
      </c>
      <c r="AA67" s="7">
        <v>46276.0</v>
      </c>
      <c r="AB67" s="8" t="s">
        <v>527</v>
      </c>
      <c r="AC67" s="8" t="s">
        <v>528</v>
      </c>
      <c r="AD67" s="8"/>
      <c r="AE67" s="8"/>
      <c r="AF67" s="8"/>
      <c r="AG67" s="8"/>
      <c r="AH67" s="10"/>
      <c r="AI67" s="10"/>
      <c r="AJ67" s="10"/>
      <c r="AK67" s="24">
        <v>0.5638888888888889</v>
      </c>
      <c r="AL67" s="10"/>
      <c r="AM67" s="10"/>
    </row>
    <row r="68" ht="22.5" hidden="1" customHeight="1">
      <c r="A68" s="7"/>
      <c r="B68" s="8" t="s">
        <v>529</v>
      </c>
      <c r="C68" s="8" t="s">
        <v>530</v>
      </c>
      <c r="D68" s="9">
        <f t="shared" ref="D68:D72" si="4">61450337075</f>
        <v>61450337075</v>
      </c>
      <c r="E68" s="8" t="s">
        <v>531</v>
      </c>
      <c r="F68" s="8" t="s">
        <v>42</v>
      </c>
      <c r="G68" s="8" t="s">
        <v>103</v>
      </c>
      <c r="H68" s="8" t="s">
        <v>532</v>
      </c>
      <c r="I68" s="9" t="s">
        <v>249</v>
      </c>
      <c r="J68" s="9"/>
      <c r="K68" s="9" t="s">
        <v>533</v>
      </c>
      <c r="L68" s="9" t="s">
        <v>534</v>
      </c>
      <c r="M68" s="8">
        <v>3377.0</v>
      </c>
      <c r="N68" s="8" t="s">
        <v>535</v>
      </c>
      <c r="O68" s="8" t="s">
        <v>536</v>
      </c>
      <c r="P68" s="8"/>
      <c r="Q68" s="8" t="s">
        <v>48</v>
      </c>
      <c r="R68" s="8" t="s">
        <v>537</v>
      </c>
      <c r="S68" s="8">
        <v>9.760834978E9</v>
      </c>
      <c r="T68" s="8">
        <v>1.6834143E7</v>
      </c>
      <c r="U68" s="10"/>
      <c r="V68" s="23"/>
      <c r="W68" s="27" t="str">
        <f t="shared" si="1"/>
        <v/>
      </c>
      <c r="X68" s="8" t="s">
        <v>76</v>
      </c>
      <c r="Y68" s="7" t="str">
        <f t="shared" si="2"/>
        <v>Expired</v>
      </c>
      <c r="Z68" s="8">
        <f t="shared" si="3"/>
        <v>0</v>
      </c>
      <c r="AA68" s="10"/>
      <c r="AB68" s="8" t="s">
        <v>538</v>
      </c>
      <c r="AC68" s="8" t="s">
        <v>539</v>
      </c>
      <c r="AD68" s="8"/>
      <c r="AE68" s="8"/>
      <c r="AF68" s="8"/>
      <c r="AG68" s="8"/>
      <c r="AH68" s="10"/>
      <c r="AI68" s="8">
        <v>1.6834143E7</v>
      </c>
      <c r="AJ68" s="10"/>
      <c r="AK68" s="10"/>
      <c r="AL68" s="10"/>
      <c r="AM68" s="10"/>
    </row>
    <row r="69" ht="22.5" hidden="1" customHeight="1">
      <c r="A69" s="7"/>
      <c r="B69" s="8" t="s">
        <v>529</v>
      </c>
      <c r="C69" s="8" t="s">
        <v>530</v>
      </c>
      <c r="D69" s="9">
        <f t="shared" si="4"/>
        <v>61450337075</v>
      </c>
      <c r="E69" s="8" t="s">
        <v>531</v>
      </c>
      <c r="F69" s="8" t="s">
        <v>42</v>
      </c>
      <c r="G69" s="8" t="s">
        <v>103</v>
      </c>
      <c r="H69" s="8" t="s">
        <v>532</v>
      </c>
      <c r="I69" s="9" t="s">
        <v>249</v>
      </c>
      <c r="J69" s="9"/>
      <c r="K69" s="9" t="s">
        <v>533</v>
      </c>
      <c r="L69" s="9" t="s">
        <v>534</v>
      </c>
      <c r="M69" s="8">
        <v>257.0</v>
      </c>
      <c r="N69" s="8" t="s">
        <v>540</v>
      </c>
      <c r="O69" s="8" t="s">
        <v>541</v>
      </c>
      <c r="P69" s="8"/>
      <c r="Q69" s="8" t="s">
        <v>48</v>
      </c>
      <c r="R69" s="8" t="s">
        <v>542</v>
      </c>
      <c r="S69" s="8">
        <v>9.76083761E9</v>
      </c>
      <c r="T69" s="8">
        <v>7.6561665E7</v>
      </c>
      <c r="U69" s="10"/>
      <c r="V69" s="23"/>
      <c r="W69" s="27" t="str">
        <f t="shared" si="1"/>
        <v/>
      </c>
      <c r="X69" s="8" t="s">
        <v>76</v>
      </c>
      <c r="Y69" s="7" t="str">
        <f t="shared" si="2"/>
        <v>Expired</v>
      </c>
      <c r="Z69" s="8">
        <f t="shared" si="3"/>
        <v>0</v>
      </c>
      <c r="AA69" s="7"/>
      <c r="AB69" s="8" t="s">
        <v>543</v>
      </c>
      <c r="AC69" s="8" t="s">
        <v>544</v>
      </c>
      <c r="AD69" s="8"/>
      <c r="AE69" s="8"/>
      <c r="AF69" s="8"/>
      <c r="AG69" s="8"/>
      <c r="AH69" s="10"/>
      <c r="AI69" s="8">
        <v>7.6561665E7</v>
      </c>
      <c r="AJ69" s="10"/>
      <c r="AK69" s="10"/>
      <c r="AL69" s="10"/>
      <c r="AM69" s="10"/>
    </row>
    <row r="70" ht="22.5" customHeight="1">
      <c r="A70" s="7"/>
      <c r="B70" s="39" t="s">
        <v>545</v>
      </c>
      <c r="C70" s="39" t="s">
        <v>546</v>
      </c>
      <c r="D70" s="40">
        <f t="shared" si="4"/>
        <v>61450337075</v>
      </c>
      <c r="E70" s="39" t="s">
        <v>547</v>
      </c>
      <c r="F70" s="8" t="s">
        <v>42</v>
      </c>
      <c r="G70" s="41" t="s">
        <v>103</v>
      </c>
      <c r="H70" s="41" t="s">
        <v>532</v>
      </c>
      <c r="I70" s="9" t="s">
        <v>249</v>
      </c>
      <c r="J70" s="42"/>
      <c r="K70" s="42"/>
      <c r="L70" s="42"/>
      <c r="M70" s="8">
        <v>2052.0</v>
      </c>
      <c r="N70" s="8" t="s">
        <v>548</v>
      </c>
      <c r="O70" s="8" t="s">
        <v>549</v>
      </c>
      <c r="P70" s="8"/>
      <c r="Q70" s="8" t="s">
        <v>252</v>
      </c>
      <c r="R70" s="8"/>
      <c r="S70" s="8">
        <v>9.703835883E9</v>
      </c>
      <c r="T70" s="7"/>
      <c r="U70" s="7"/>
      <c r="V70" s="7">
        <v>45959.0</v>
      </c>
      <c r="W70" s="12">
        <f t="shared" si="1"/>
        <v>46127</v>
      </c>
      <c r="X70" s="8" t="s">
        <v>550</v>
      </c>
      <c r="Y70" s="7" t="str">
        <f t="shared" si="2"/>
        <v>Active</v>
      </c>
      <c r="Z70" s="8">
        <f t="shared" si="3"/>
        <v>12</v>
      </c>
      <c r="AA70" s="7">
        <v>46120.0</v>
      </c>
      <c r="AB70" s="8" t="s">
        <v>551</v>
      </c>
      <c r="AC70" s="8" t="s">
        <v>552</v>
      </c>
      <c r="AD70" s="8"/>
      <c r="AE70" s="8"/>
      <c r="AF70" s="8"/>
      <c r="AG70" s="8"/>
      <c r="AH70" s="10"/>
      <c r="AI70" s="10"/>
      <c r="AJ70" s="10"/>
      <c r="AK70" s="10"/>
      <c r="AL70" s="10"/>
      <c r="AM70" s="10"/>
    </row>
    <row r="71" ht="22.5" hidden="1" customHeight="1">
      <c r="A71" s="7"/>
      <c r="B71" s="41" t="s">
        <v>529</v>
      </c>
      <c r="C71" s="41" t="s">
        <v>530</v>
      </c>
      <c r="D71" s="40">
        <f t="shared" si="4"/>
        <v>61450337075</v>
      </c>
      <c r="E71" s="41" t="s">
        <v>531</v>
      </c>
      <c r="F71" s="8" t="s">
        <v>42</v>
      </c>
      <c r="G71" s="41" t="s">
        <v>103</v>
      </c>
      <c r="H71" s="41" t="s">
        <v>532</v>
      </c>
      <c r="I71" s="9" t="s">
        <v>249</v>
      </c>
      <c r="J71" s="42"/>
      <c r="K71" s="42" t="s">
        <v>533</v>
      </c>
      <c r="L71" s="42" t="s">
        <v>534</v>
      </c>
      <c r="M71" s="8">
        <v>265.0</v>
      </c>
      <c r="N71" s="8" t="s">
        <v>553</v>
      </c>
      <c r="O71" s="8" t="s">
        <v>554</v>
      </c>
      <c r="P71" s="8"/>
      <c r="Q71" s="8" t="s">
        <v>48</v>
      </c>
      <c r="R71" s="31" t="s">
        <v>555</v>
      </c>
      <c r="S71" s="8">
        <v>9.760839211E9</v>
      </c>
      <c r="T71" s="8">
        <v>9.8901019E7</v>
      </c>
      <c r="U71" s="10"/>
      <c r="V71" s="23"/>
      <c r="W71" s="27" t="str">
        <f t="shared" si="1"/>
        <v/>
      </c>
      <c r="X71" s="8" t="s">
        <v>76</v>
      </c>
      <c r="Y71" s="7" t="str">
        <f t="shared" si="2"/>
        <v>Expired</v>
      </c>
      <c r="Z71" s="8">
        <f t="shared" si="3"/>
        <v>0</v>
      </c>
      <c r="AA71" s="7">
        <v>45906.0</v>
      </c>
      <c r="AB71" s="8" t="s">
        <v>556</v>
      </c>
      <c r="AC71" s="8" t="s">
        <v>557</v>
      </c>
      <c r="AD71" s="8"/>
      <c r="AE71" s="8"/>
      <c r="AF71" s="8"/>
      <c r="AG71" s="8"/>
      <c r="AH71" s="10"/>
      <c r="AI71" s="10"/>
      <c r="AJ71" s="10"/>
      <c r="AK71" s="24">
        <v>0.5298611111111111</v>
      </c>
      <c r="AL71" s="10"/>
      <c r="AM71" s="10"/>
    </row>
    <row r="72" ht="22.5" hidden="1" customHeight="1">
      <c r="A72" s="26"/>
      <c r="B72" s="43" t="s">
        <v>529</v>
      </c>
      <c r="C72" s="43" t="s">
        <v>530</v>
      </c>
      <c r="D72" s="44">
        <f t="shared" si="4"/>
        <v>61450337075</v>
      </c>
      <c r="E72" s="43" t="s">
        <v>531</v>
      </c>
      <c r="F72" s="8" t="s">
        <v>42</v>
      </c>
      <c r="G72" s="43" t="s">
        <v>103</v>
      </c>
      <c r="H72" s="43" t="s">
        <v>532</v>
      </c>
      <c r="I72" s="9" t="s">
        <v>249</v>
      </c>
      <c r="J72" s="45"/>
      <c r="K72" s="45" t="s">
        <v>533</v>
      </c>
      <c r="L72" s="45" t="s">
        <v>534</v>
      </c>
      <c r="M72" s="13">
        <v>555.0</v>
      </c>
      <c r="N72" s="13" t="s">
        <v>558</v>
      </c>
      <c r="O72" s="13" t="s">
        <v>559</v>
      </c>
      <c r="P72" s="13"/>
      <c r="Q72" s="13" t="s">
        <v>48</v>
      </c>
      <c r="R72" s="35" t="s">
        <v>560</v>
      </c>
      <c r="S72" s="13">
        <v>9.760837539E9</v>
      </c>
      <c r="T72" s="13">
        <v>2.4767219E7</v>
      </c>
      <c r="V72" s="25"/>
      <c r="W72" s="27" t="str">
        <f t="shared" si="1"/>
        <v/>
      </c>
      <c r="X72" s="13" t="s">
        <v>76</v>
      </c>
      <c r="Y72" s="7" t="str">
        <f t="shared" si="2"/>
        <v>Expired</v>
      </c>
      <c r="Z72" s="8">
        <f t="shared" si="3"/>
        <v>0</v>
      </c>
      <c r="AB72" s="13" t="s">
        <v>561</v>
      </c>
      <c r="AC72" s="13" t="s">
        <v>562</v>
      </c>
      <c r="AD72" s="13"/>
      <c r="AE72" s="13"/>
      <c r="AF72" s="13"/>
      <c r="AG72" s="13"/>
    </row>
    <row r="73" ht="22.5" hidden="1" customHeight="1">
      <c r="A73" s="26"/>
      <c r="B73" s="13" t="s">
        <v>279</v>
      </c>
      <c r="C73" s="13" t="s">
        <v>290</v>
      </c>
      <c r="D73" s="9">
        <v>9.804079285E9</v>
      </c>
      <c r="E73" s="13" t="s">
        <v>41</v>
      </c>
      <c r="F73" s="8" t="s">
        <v>42</v>
      </c>
      <c r="G73" s="13" t="s">
        <v>43</v>
      </c>
      <c r="H73" s="13" t="s">
        <v>232</v>
      </c>
      <c r="I73" s="19" t="s">
        <v>45</v>
      </c>
      <c r="J73" s="19"/>
      <c r="K73" s="19">
        <v>9.808830619E9</v>
      </c>
      <c r="L73" s="19" t="s">
        <v>46</v>
      </c>
      <c r="M73" s="13">
        <v>5432.0</v>
      </c>
      <c r="N73" s="13" t="s">
        <v>563</v>
      </c>
      <c r="O73" s="13" t="s">
        <v>564</v>
      </c>
      <c r="P73" s="13"/>
      <c r="Q73" s="13" t="s">
        <v>74</v>
      </c>
      <c r="R73" s="13" t="s">
        <v>565</v>
      </c>
      <c r="S73" s="13"/>
      <c r="T73" s="13"/>
      <c r="U73" s="13"/>
      <c r="V73" s="25">
        <v>46005.0</v>
      </c>
      <c r="W73" s="32">
        <f t="shared" si="1"/>
        <v>46035</v>
      </c>
      <c r="X73" s="13" t="s">
        <v>137</v>
      </c>
      <c r="Y73" s="7" t="str">
        <f t="shared" si="2"/>
        <v>Expired</v>
      </c>
      <c r="Z73" s="8">
        <f t="shared" si="3"/>
        <v>0</v>
      </c>
      <c r="AB73" s="13" t="s">
        <v>566</v>
      </c>
      <c r="AC73" s="13" t="s">
        <v>567</v>
      </c>
      <c r="AD73" s="13"/>
      <c r="AE73" s="13"/>
      <c r="AF73" s="13"/>
      <c r="AG73" s="13"/>
      <c r="AH73" s="13">
        <v>9.819715621E9</v>
      </c>
    </row>
    <row r="74" ht="22.5" customHeight="1">
      <c r="A74" s="7"/>
      <c r="B74" s="8" t="s">
        <v>545</v>
      </c>
      <c r="C74" s="8" t="s">
        <v>546</v>
      </c>
      <c r="D74" s="9">
        <f>15713310753</f>
        <v>15713310753</v>
      </c>
      <c r="E74" s="8" t="s">
        <v>568</v>
      </c>
      <c r="F74" s="8" t="s">
        <v>42</v>
      </c>
      <c r="G74" s="8" t="s">
        <v>43</v>
      </c>
      <c r="H74" s="8" t="s">
        <v>569</v>
      </c>
      <c r="I74" s="9" t="s">
        <v>249</v>
      </c>
      <c r="J74" s="9"/>
      <c r="K74" s="9" t="s">
        <v>570</v>
      </c>
      <c r="L74" s="9" t="s">
        <v>571</v>
      </c>
      <c r="M74" s="8">
        <v>312.0</v>
      </c>
      <c r="N74" s="8" t="s">
        <v>572</v>
      </c>
      <c r="O74" s="8" t="s">
        <v>573</v>
      </c>
      <c r="P74" s="8"/>
      <c r="Q74" s="8" t="s">
        <v>252</v>
      </c>
      <c r="R74" s="8"/>
      <c r="S74" s="8">
        <v>9.760834949E9</v>
      </c>
      <c r="T74" s="8">
        <v>1.7135211E7</v>
      </c>
      <c r="U74" s="10"/>
      <c r="V74" s="23">
        <v>45826.0</v>
      </c>
      <c r="W74" s="32">
        <f t="shared" si="1"/>
        <v>46191</v>
      </c>
      <c r="X74" s="8" t="s">
        <v>76</v>
      </c>
      <c r="Y74" s="7" t="str">
        <f t="shared" si="2"/>
        <v>Active</v>
      </c>
      <c r="Z74" s="8">
        <f t="shared" si="3"/>
        <v>76</v>
      </c>
      <c r="AA74" s="7">
        <v>45995.0</v>
      </c>
      <c r="AB74" s="8" t="s">
        <v>574</v>
      </c>
      <c r="AC74" s="8"/>
      <c r="AD74" s="8"/>
      <c r="AE74" s="8"/>
      <c r="AF74" s="8"/>
      <c r="AG74" s="8"/>
      <c r="AH74" s="10"/>
      <c r="AI74" s="10"/>
      <c r="AJ74" s="10"/>
      <c r="AK74" s="24">
        <v>0.2534722222222222</v>
      </c>
      <c r="AL74" s="10"/>
      <c r="AM74" s="10"/>
    </row>
    <row r="75" ht="22.5" customHeight="1">
      <c r="A75" s="7"/>
      <c r="B75" s="8" t="s">
        <v>575</v>
      </c>
      <c r="C75" s="8" t="s">
        <v>40</v>
      </c>
      <c r="D75" s="9">
        <v>9.851097412E9</v>
      </c>
      <c r="E75" s="8" t="s">
        <v>576</v>
      </c>
      <c r="F75" s="8" t="s">
        <v>42</v>
      </c>
      <c r="G75" s="8" t="s">
        <v>43</v>
      </c>
      <c r="H75" s="8" t="s">
        <v>232</v>
      </c>
      <c r="I75" s="9" t="s">
        <v>319</v>
      </c>
      <c r="J75" s="9"/>
      <c r="K75" s="9">
        <v>9.861352754E9</v>
      </c>
      <c r="L75" s="9" t="s">
        <v>577</v>
      </c>
      <c r="M75" s="8">
        <v>2687.0</v>
      </c>
      <c r="N75" s="8" t="s">
        <v>578</v>
      </c>
      <c r="O75" s="8" t="s">
        <v>579</v>
      </c>
      <c r="P75" s="8"/>
      <c r="Q75" s="8" t="s">
        <v>48</v>
      </c>
      <c r="R75" s="8"/>
      <c r="S75" s="8">
        <v>9.760845186E9</v>
      </c>
      <c r="T75" s="8">
        <v>1.8366127E7</v>
      </c>
      <c r="U75" s="8"/>
      <c r="V75" s="23">
        <v>46085.0</v>
      </c>
      <c r="W75" s="32">
        <f t="shared" si="1"/>
        <v>46115</v>
      </c>
      <c r="X75" s="8" t="s">
        <v>215</v>
      </c>
      <c r="Y75" s="7" t="str">
        <f t="shared" si="2"/>
        <v>Expired</v>
      </c>
      <c r="Z75" s="8">
        <f t="shared" si="3"/>
        <v>0</v>
      </c>
      <c r="AA75" s="7">
        <v>46164.0</v>
      </c>
      <c r="AB75" s="8" t="s">
        <v>580</v>
      </c>
      <c r="AC75" s="8" t="s">
        <v>581</v>
      </c>
      <c r="AD75" s="8" t="s">
        <v>582</v>
      </c>
      <c r="AE75" s="8" t="s">
        <v>583</v>
      </c>
      <c r="AF75" s="8">
        <v>3.53701096175944E14</v>
      </c>
      <c r="AG75" s="8"/>
      <c r="AH75" s="10"/>
      <c r="AI75" s="8">
        <v>6.0632275E7</v>
      </c>
      <c r="AJ75" s="8">
        <v>1.1683113E7</v>
      </c>
      <c r="AK75" s="24">
        <v>0.42569444444444443</v>
      </c>
      <c r="AL75" s="10"/>
      <c r="AM75" s="10"/>
    </row>
    <row r="76" ht="22.5" customHeight="1">
      <c r="A76" s="7"/>
      <c r="B76" s="8" t="s">
        <v>575</v>
      </c>
      <c r="C76" s="8" t="s">
        <v>40</v>
      </c>
      <c r="D76" s="9">
        <v>9.851097412E9</v>
      </c>
      <c r="E76" s="8" t="s">
        <v>576</v>
      </c>
      <c r="F76" s="8" t="s">
        <v>42</v>
      </c>
      <c r="G76" s="8" t="s">
        <v>43</v>
      </c>
      <c r="H76" s="8" t="s">
        <v>232</v>
      </c>
      <c r="I76" s="9" t="s">
        <v>319</v>
      </c>
      <c r="J76" s="9"/>
      <c r="K76" s="9">
        <v>9.861352754E9</v>
      </c>
      <c r="L76" s="9" t="s">
        <v>577</v>
      </c>
      <c r="M76" s="8">
        <v>2688.0</v>
      </c>
      <c r="N76" s="8" t="s">
        <v>584</v>
      </c>
      <c r="O76" s="8" t="s">
        <v>585</v>
      </c>
      <c r="P76" s="8"/>
      <c r="Q76" s="8" t="s">
        <v>48</v>
      </c>
      <c r="R76" s="15" t="s">
        <v>586</v>
      </c>
      <c r="S76" s="8">
        <v>9.760844721E9</v>
      </c>
      <c r="T76" s="8">
        <v>8.9441323E7</v>
      </c>
      <c r="U76" s="15">
        <v>1.1912278E7</v>
      </c>
      <c r="V76" s="7">
        <v>46092.0</v>
      </c>
      <c r="W76" s="12">
        <f t="shared" si="1"/>
        <v>46122</v>
      </c>
      <c r="X76" s="8" t="s">
        <v>137</v>
      </c>
      <c r="Y76" s="7" t="str">
        <f t="shared" si="2"/>
        <v>Active</v>
      </c>
      <c r="Z76" s="8">
        <f t="shared" si="3"/>
        <v>7</v>
      </c>
      <c r="AA76" s="7">
        <v>46242.0</v>
      </c>
      <c r="AB76" s="8" t="s">
        <v>587</v>
      </c>
      <c r="AC76" s="8" t="s">
        <v>588</v>
      </c>
      <c r="AD76" s="8" t="s">
        <v>582</v>
      </c>
      <c r="AE76" s="8" t="s">
        <v>583</v>
      </c>
      <c r="AF76" s="8">
        <v>3.53701094178809E14</v>
      </c>
      <c r="AG76" s="8"/>
      <c r="AH76" s="10"/>
      <c r="AI76" s="8">
        <v>2.5146276E7</v>
      </c>
      <c r="AJ76" s="8">
        <v>2.5494255E7</v>
      </c>
      <c r="AK76" s="24">
        <v>0.12152777777777778</v>
      </c>
      <c r="AL76" s="22"/>
      <c r="AM76" s="22"/>
    </row>
    <row r="77" ht="22.5" customHeight="1">
      <c r="A77" s="7"/>
      <c r="B77" s="8" t="s">
        <v>575</v>
      </c>
      <c r="C77" s="8" t="s">
        <v>40</v>
      </c>
      <c r="D77" s="9">
        <v>9.851097412E9</v>
      </c>
      <c r="E77" s="8" t="s">
        <v>589</v>
      </c>
      <c r="F77" s="8" t="s">
        <v>42</v>
      </c>
      <c r="G77" s="8" t="s">
        <v>43</v>
      </c>
      <c r="H77" s="8" t="s">
        <v>232</v>
      </c>
      <c r="I77" s="9" t="s">
        <v>590</v>
      </c>
      <c r="J77" s="9"/>
      <c r="K77" s="9">
        <v>9.861352754E9</v>
      </c>
      <c r="L77" s="9" t="s">
        <v>577</v>
      </c>
      <c r="M77" s="8">
        <v>3365.0</v>
      </c>
      <c r="N77" s="8" t="s">
        <v>591</v>
      </c>
      <c r="O77" s="8"/>
      <c r="P77" s="8"/>
      <c r="Q77" s="8" t="s">
        <v>48</v>
      </c>
      <c r="R77" s="29"/>
      <c r="S77" s="17">
        <v>9.712029957E9</v>
      </c>
      <c r="T77" s="29"/>
      <c r="U77" s="29"/>
      <c r="V77" s="23">
        <v>46106.0</v>
      </c>
      <c r="W77" s="32">
        <f t="shared" si="1"/>
        <v>46134</v>
      </c>
      <c r="X77" s="8" t="s">
        <v>98</v>
      </c>
      <c r="Y77" s="7" t="str">
        <f t="shared" si="2"/>
        <v>Active</v>
      </c>
      <c r="Z77" s="8">
        <f t="shared" si="3"/>
        <v>19</v>
      </c>
      <c r="AA77" s="7">
        <v>46134.0</v>
      </c>
      <c r="AB77" s="8" t="s">
        <v>592</v>
      </c>
      <c r="AC77" s="8" t="s">
        <v>593</v>
      </c>
      <c r="AD77" s="8" t="s">
        <v>582</v>
      </c>
      <c r="AE77" s="8" t="s">
        <v>583</v>
      </c>
      <c r="AF77" s="8">
        <v>8.61128066877496E14</v>
      </c>
      <c r="AG77" s="8"/>
      <c r="AH77" s="10"/>
      <c r="AI77" s="10"/>
      <c r="AJ77" s="10"/>
      <c r="AK77" s="10"/>
      <c r="AL77" s="10"/>
      <c r="AM77" s="10"/>
    </row>
    <row r="78" ht="22.5" hidden="1" customHeight="1">
      <c r="A78" s="7"/>
      <c r="B78" s="8" t="s">
        <v>594</v>
      </c>
      <c r="C78" s="8" t="s">
        <v>173</v>
      </c>
      <c r="D78" s="9">
        <v>9.846022879E9</v>
      </c>
      <c r="E78" s="8" t="s">
        <v>595</v>
      </c>
      <c r="F78" s="8" t="s">
        <v>42</v>
      </c>
      <c r="G78" s="8" t="s">
        <v>43</v>
      </c>
      <c r="H78" s="8" t="s">
        <v>596</v>
      </c>
      <c r="I78" s="9" t="s">
        <v>233</v>
      </c>
      <c r="J78" s="9"/>
      <c r="K78" s="9"/>
      <c r="L78" s="9"/>
      <c r="M78" s="8">
        <v>101.0</v>
      </c>
      <c r="N78" s="8"/>
      <c r="O78" s="8"/>
      <c r="P78" s="8"/>
      <c r="Q78" s="8" t="s">
        <v>48</v>
      </c>
      <c r="R78" s="8" t="s">
        <v>597</v>
      </c>
      <c r="S78" s="8"/>
      <c r="T78" s="8">
        <v>2.6324108E7</v>
      </c>
      <c r="U78" s="10"/>
      <c r="V78" s="23">
        <v>45721.0</v>
      </c>
      <c r="W78" s="32">
        <f t="shared" si="1"/>
        <v>45901</v>
      </c>
      <c r="X78" s="8" t="s">
        <v>63</v>
      </c>
      <c r="Y78" s="7" t="str">
        <f t="shared" si="2"/>
        <v>Expired</v>
      </c>
      <c r="Z78" s="8">
        <f t="shared" si="3"/>
        <v>0</v>
      </c>
      <c r="AA78" s="10"/>
      <c r="AB78" s="8" t="s">
        <v>598</v>
      </c>
      <c r="AC78" s="8"/>
      <c r="AD78" s="8"/>
      <c r="AE78" s="8"/>
      <c r="AF78" s="8"/>
      <c r="AG78" s="8"/>
      <c r="AH78" s="10"/>
      <c r="AI78" s="10"/>
      <c r="AJ78" s="10"/>
      <c r="AK78" s="10"/>
      <c r="AL78" s="10"/>
      <c r="AM78" s="10"/>
    </row>
    <row r="79" ht="22.5" hidden="1" customHeight="1">
      <c r="A79" s="26"/>
      <c r="B79" s="13" t="s">
        <v>599</v>
      </c>
      <c r="C79" s="13" t="s">
        <v>600</v>
      </c>
      <c r="D79" s="19">
        <v>9.802071739E9</v>
      </c>
      <c r="E79" s="13" t="s">
        <v>601</v>
      </c>
      <c r="F79" s="8" t="s">
        <v>42</v>
      </c>
      <c r="G79" s="13" t="s">
        <v>43</v>
      </c>
      <c r="H79" s="13" t="s">
        <v>602</v>
      </c>
      <c r="I79" s="19" t="s">
        <v>45</v>
      </c>
      <c r="J79" s="19"/>
      <c r="K79" s="19">
        <v>9.802071739E9</v>
      </c>
      <c r="L79" s="19" t="s">
        <v>603</v>
      </c>
      <c r="M79" s="13">
        <v>5652.0</v>
      </c>
      <c r="N79" s="13" t="s">
        <v>604</v>
      </c>
      <c r="O79" s="13" t="s">
        <v>605</v>
      </c>
      <c r="P79" s="13"/>
      <c r="Q79" s="13" t="s">
        <v>48</v>
      </c>
      <c r="R79" s="13" t="s">
        <v>606</v>
      </c>
      <c r="S79" s="13">
        <v>9.76083917E9</v>
      </c>
      <c r="T79" s="13">
        <v>1.7022983E7</v>
      </c>
      <c r="U79" s="13"/>
      <c r="V79" s="25"/>
      <c r="W79" s="27" t="str">
        <f t="shared" si="1"/>
        <v/>
      </c>
      <c r="X79" s="13" t="s">
        <v>137</v>
      </c>
      <c r="Y79" s="7" t="str">
        <f t="shared" si="2"/>
        <v>Expired</v>
      </c>
      <c r="Z79" s="8">
        <f t="shared" si="3"/>
        <v>0</v>
      </c>
      <c r="AA79" s="26">
        <v>45980.0</v>
      </c>
      <c r="AB79" s="13" t="s">
        <v>607</v>
      </c>
      <c r="AC79" s="13" t="s">
        <v>608</v>
      </c>
      <c r="AD79" s="13"/>
      <c r="AE79" s="13"/>
      <c r="AF79" s="13"/>
      <c r="AG79" s="13"/>
      <c r="AI79" s="13">
        <v>2.3011233E7</v>
      </c>
      <c r="AJ79" s="13">
        <v>1.786426E7</v>
      </c>
      <c r="AK79" s="37"/>
      <c r="AL79" s="46"/>
      <c r="AM79" s="46"/>
    </row>
    <row r="80" ht="22.5" hidden="1" customHeight="1">
      <c r="A80" s="26"/>
      <c r="B80" s="13" t="s">
        <v>599</v>
      </c>
      <c r="C80" s="13" t="s">
        <v>600</v>
      </c>
      <c r="D80" s="19">
        <v>9.802071739E9</v>
      </c>
      <c r="E80" s="13" t="s">
        <v>601</v>
      </c>
      <c r="F80" s="8" t="s">
        <v>42</v>
      </c>
      <c r="G80" s="13" t="s">
        <v>43</v>
      </c>
      <c r="H80" s="13" t="s">
        <v>602</v>
      </c>
      <c r="I80" s="19" t="s">
        <v>45</v>
      </c>
      <c r="J80" s="19"/>
      <c r="K80" s="19">
        <v>9.802071739E9</v>
      </c>
      <c r="L80" s="19" t="s">
        <v>603</v>
      </c>
      <c r="M80" s="13">
        <v>5653.0</v>
      </c>
      <c r="N80" s="13"/>
      <c r="O80" s="13"/>
      <c r="P80" s="13"/>
      <c r="Q80" s="13" t="s">
        <v>48</v>
      </c>
      <c r="R80" s="13" t="s">
        <v>609</v>
      </c>
      <c r="S80" s="13">
        <v>9.760834931E9</v>
      </c>
      <c r="T80" s="13">
        <v>3.251823E7</v>
      </c>
      <c r="U80" s="13">
        <v>2.0241389E7</v>
      </c>
      <c r="V80" s="25">
        <v>45759.0</v>
      </c>
      <c r="W80" s="32">
        <f t="shared" si="1"/>
        <v>45789</v>
      </c>
      <c r="X80" s="13" t="s">
        <v>137</v>
      </c>
      <c r="Y80" s="7" t="str">
        <f t="shared" si="2"/>
        <v>Expired</v>
      </c>
      <c r="Z80" s="8">
        <f t="shared" si="3"/>
        <v>0</v>
      </c>
      <c r="AA80" s="26">
        <v>45939.0</v>
      </c>
      <c r="AB80" s="13" t="s">
        <v>610</v>
      </c>
      <c r="AC80" s="13" t="s">
        <v>611</v>
      </c>
      <c r="AD80" s="13"/>
      <c r="AE80" s="13"/>
      <c r="AF80" s="13"/>
      <c r="AG80" s="13"/>
      <c r="AI80" s="13">
        <v>3.251823E7</v>
      </c>
      <c r="AJ80" s="13">
        <v>2.0241389E7</v>
      </c>
      <c r="AK80" s="37">
        <v>0.5791666666666667</v>
      </c>
    </row>
    <row r="81" ht="22.5" hidden="1" customHeight="1">
      <c r="A81" s="26"/>
      <c r="B81" s="13" t="s">
        <v>599</v>
      </c>
      <c r="C81" s="13" t="s">
        <v>600</v>
      </c>
      <c r="D81" s="19">
        <v>9.802071739E9</v>
      </c>
      <c r="E81" s="13" t="s">
        <v>601</v>
      </c>
      <c r="F81" s="8" t="s">
        <v>42</v>
      </c>
      <c r="G81" s="13" t="s">
        <v>43</v>
      </c>
      <c r="H81" s="13" t="s">
        <v>602</v>
      </c>
      <c r="I81" s="19" t="s">
        <v>45</v>
      </c>
      <c r="J81" s="19"/>
      <c r="K81" s="19">
        <v>9.802071739E9</v>
      </c>
      <c r="L81" s="19" t="s">
        <v>603</v>
      </c>
      <c r="M81" s="13">
        <v>7032.0</v>
      </c>
      <c r="N81" s="13"/>
      <c r="O81" s="13"/>
      <c r="P81" s="13"/>
      <c r="Q81" s="13"/>
      <c r="R81" s="13" t="s">
        <v>612</v>
      </c>
      <c r="S81" s="13">
        <v>9.760834992E9</v>
      </c>
      <c r="T81" s="13">
        <v>2.9696206E7</v>
      </c>
      <c r="V81" s="25">
        <v>45737.0</v>
      </c>
      <c r="W81" s="32">
        <f t="shared" si="1"/>
        <v>45767</v>
      </c>
      <c r="X81" s="13" t="s">
        <v>137</v>
      </c>
      <c r="Y81" s="7" t="str">
        <f t="shared" si="2"/>
        <v>Expired</v>
      </c>
      <c r="Z81" s="8">
        <f t="shared" si="3"/>
        <v>0</v>
      </c>
      <c r="AA81" s="26">
        <v>45917.0</v>
      </c>
      <c r="AB81" s="13" t="s">
        <v>613</v>
      </c>
      <c r="AC81" s="13" t="s">
        <v>614</v>
      </c>
      <c r="AD81" s="13"/>
      <c r="AE81" s="13"/>
      <c r="AF81" s="13"/>
      <c r="AG81" s="13"/>
      <c r="AI81" s="13">
        <v>2.9696206E7</v>
      </c>
      <c r="AK81" s="37">
        <v>0.6833333333333333</v>
      </c>
    </row>
    <row r="82" ht="22.5" hidden="1" customHeight="1">
      <c r="A82" s="26"/>
      <c r="B82" s="13" t="s">
        <v>599</v>
      </c>
      <c r="C82" s="13" t="s">
        <v>600</v>
      </c>
      <c r="D82" s="19">
        <v>9.802071739E9</v>
      </c>
      <c r="E82" s="13" t="s">
        <v>601</v>
      </c>
      <c r="F82" s="8" t="s">
        <v>42</v>
      </c>
      <c r="G82" s="13" t="s">
        <v>43</v>
      </c>
      <c r="H82" s="13" t="s">
        <v>602</v>
      </c>
      <c r="I82" s="19" t="s">
        <v>45</v>
      </c>
      <c r="J82" s="19"/>
      <c r="K82" s="19">
        <v>9.802071739E9</v>
      </c>
      <c r="L82" s="19" t="s">
        <v>603</v>
      </c>
      <c r="M82" s="13">
        <v>7031.0</v>
      </c>
      <c r="N82" s="13" t="s">
        <v>615</v>
      </c>
      <c r="O82" s="13" t="s">
        <v>616</v>
      </c>
      <c r="P82" s="13"/>
      <c r="Q82" s="13" t="s">
        <v>48</v>
      </c>
      <c r="R82" s="13" t="s">
        <v>617</v>
      </c>
      <c r="S82" s="13">
        <v>9.760837555E9</v>
      </c>
      <c r="T82" s="13">
        <v>1.3992215E7</v>
      </c>
      <c r="U82" s="13">
        <v>1.3992215E7</v>
      </c>
      <c r="W82" s="27" t="str">
        <f t="shared" si="1"/>
        <v/>
      </c>
      <c r="X82" s="13" t="s">
        <v>137</v>
      </c>
      <c r="Y82" s="7" t="str">
        <f t="shared" si="2"/>
        <v>Expired</v>
      </c>
      <c r="Z82" s="8">
        <f t="shared" si="3"/>
        <v>0</v>
      </c>
      <c r="AA82" s="26">
        <v>45934.0</v>
      </c>
      <c r="AB82" s="13" t="s">
        <v>618</v>
      </c>
      <c r="AC82" s="13" t="s">
        <v>619</v>
      </c>
      <c r="AD82" s="13"/>
      <c r="AE82" s="13"/>
      <c r="AF82" s="13"/>
      <c r="AG82" s="13"/>
      <c r="AI82" s="13">
        <v>1.3992215E7</v>
      </c>
      <c r="AJ82" s="13">
        <v>1.3992215E7</v>
      </c>
      <c r="AK82" s="37">
        <v>0.6756944444444445</v>
      </c>
      <c r="AL82" s="46"/>
      <c r="AM82" s="46"/>
    </row>
    <row r="83" ht="22.5" hidden="1" customHeight="1">
      <c r="A83" s="26"/>
      <c r="B83" s="13" t="s">
        <v>620</v>
      </c>
      <c r="C83" s="13" t="s">
        <v>346</v>
      </c>
      <c r="D83" s="19">
        <v>9.857039073E9</v>
      </c>
      <c r="E83" s="13" t="s">
        <v>487</v>
      </c>
      <c r="F83" s="8" t="s">
        <v>42</v>
      </c>
      <c r="G83" s="13" t="s">
        <v>43</v>
      </c>
      <c r="H83" s="13" t="s">
        <v>433</v>
      </c>
      <c r="I83" s="19" t="s">
        <v>45</v>
      </c>
      <c r="J83" s="19"/>
      <c r="K83" s="19">
        <v>9.857039073E9</v>
      </c>
      <c r="L83" s="19" t="s">
        <v>621</v>
      </c>
      <c r="M83" s="13">
        <v>136.0</v>
      </c>
      <c r="N83" s="13" t="s">
        <v>622</v>
      </c>
      <c r="O83" s="13" t="s">
        <v>623</v>
      </c>
      <c r="P83" s="13"/>
      <c r="Q83" s="13" t="s">
        <v>252</v>
      </c>
      <c r="R83" s="13">
        <v>2.2272136473E10</v>
      </c>
      <c r="S83" s="13">
        <v>9.808665334E9</v>
      </c>
      <c r="V83" s="25">
        <v>45658.0</v>
      </c>
      <c r="W83" s="32">
        <f t="shared" si="1"/>
        <v>45826</v>
      </c>
      <c r="X83" s="13" t="s">
        <v>550</v>
      </c>
      <c r="Y83" s="7" t="str">
        <f t="shared" si="2"/>
        <v>Expired</v>
      </c>
      <c r="Z83" s="8">
        <f t="shared" si="3"/>
        <v>0</v>
      </c>
      <c r="AB83" s="13" t="s">
        <v>624</v>
      </c>
      <c r="AC83" s="13"/>
      <c r="AD83" s="13"/>
      <c r="AE83" s="13"/>
      <c r="AF83" s="13"/>
      <c r="AG83" s="13"/>
    </row>
    <row r="84" ht="22.5" hidden="1" customHeight="1">
      <c r="A84" s="26"/>
      <c r="B84" s="13" t="s">
        <v>625</v>
      </c>
      <c r="C84" s="13"/>
      <c r="D84" s="19">
        <v>9.849879207E9</v>
      </c>
      <c r="E84" s="13" t="s">
        <v>480</v>
      </c>
      <c r="F84" s="8" t="s">
        <v>42</v>
      </c>
      <c r="G84" s="13" t="s">
        <v>43</v>
      </c>
      <c r="H84" s="13" t="s">
        <v>70</v>
      </c>
      <c r="I84" s="19" t="s">
        <v>45</v>
      </c>
      <c r="J84" s="19"/>
      <c r="K84" s="19"/>
      <c r="L84" s="19"/>
      <c r="M84" s="13">
        <v>4058.0</v>
      </c>
      <c r="N84" s="13"/>
      <c r="O84" s="13"/>
      <c r="P84" s="13"/>
      <c r="Q84" s="13"/>
      <c r="R84" s="13"/>
      <c r="S84" s="13">
        <v>9.703124897E9</v>
      </c>
      <c r="V84" s="25">
        <v>45846.0</v>
      </c>
      <c r="W84" s="32">
        <f t="shared" si="1"/>
        <v>45874</v>
      </c>
      <c r="X84" s="13" t="s">
        <v>98</v>
      </c>
      <c r="Y84" s="7" t="str">
        <f t="shared" si="2"/>
        <v>Expired</v>
      </c>
      <c r="Z84" s="8">
        <f t="shared" si="3"/>
        <v>0</v>
      </c>
      <c r="AB84" s="13" t="s">
        <v>626</v>
      </c>
      <c r="AC84" s="13" t="s">
        <v>627</v>
      </c>
      <c r="AD84" s="13"/>
      <c r="AE84" s="13"/>
      <c r="AF84" s="13"/>
      <c r="AG84" s="13"/>
    </row>
    <row r="85" ht="22.5" hidden="1" customHeight="1">
      <c r="A85" s="26"/>
      <c r="B85" s="13" t="s">
        <v>628</v>
      </c>
      <c r="C85" s="13" t="s">
        <v>68</v>
      </c>
      <c r="D85" s="19">
        <v>9.858087494E9</v>
      </c>
      <c r="E85" s="13" t="s">
        <v>480</v>
      </c>
      <c r="F85" s="8" t="s">
        <v>42</v>
      </c>
      <c r="G85" s="13" t="s">
        <v>43</v>
      </c>
      <c r="H85" s="13" t="s">
        <v>70</v>
      </c>
      <c r="I85" s="19" t="s">
        <v>45</v>
      </c>
      <c r="J85" s="19"/>
      <c r="K85" s="19">
        <v>9.858087494E9</v>
      </c>
      <c r="L85" s="19"/>
      <c r="M85" s="13">
        <v>4085.0</v>
      </c>
      <c r="N85" s="13"/>
      <c r="O85" s="13"/>
      <c r="P85" s="13"/>
      <c r="Q85" s="13"/>
      <c r="R85" s="13"/>
      <c r="S85" s="13">
        <v>9.703124909E9</v>
      </c>
      <c r="V85" s="25"/>
      <c r="W85" s="27" t="str">
        <f t="shared" si="1"/>
        <v/>
      </c>
      <c r="X85" s="13" t="s">
        <v>98</v>
      </c>
      <c r="Y85" s="7" t="str">
        <f t="shared" si="2"/>
        <v>Expired</v>
      </c>
      <c r="Z85" s="8">
        <f t="shared" si="3"/>
        <v>0</v>
      </c>
      <c r="AB85" s="13" t="s">
        <v>629</v>
      </c>
      <c r="AC85" s="13" t="s">
        <v>630</v>
      </c>
      <c r="AD85" s="13"/>
      <c r="AE85" s="13"/>
      <c r="AF85" s="13"/>
      <c r="AG85" s="13"/>
    </row>
    <row r="86" ht="22.5" hidden="1" customHeight="1">
      <c r="A86" s="7"/>
      <c r="B86" s="8" t="s">
        <v>631</v>
      </c>
      <c r="C86" s="8" t="s">
        <v>68</v>
      </c>
      <c r="D86" s="9">
        <v>9.858025816E9</v>
      </c>
      <c r="E86" s="8" t="s">
        <v>480</v>
      </c>
      <c r="F86" s="8" t="s">
        <v>42</v>
      </c>
      <c r="G86" s="8" t="s">
        <v>43</v>
      </c>
      <c r="H86" s="8" t="s">
        <v>70</v>
      </c>
      <c r="I86" s="47" t="s">
        <v>45</v>
      </c>
      <c r="J86" s="9"/>
      <c r="K86" s="9">
        <v>9.858025816E9</v>
      </c>
      <c r="L86" s="9"/>
      <c r="M86" s="8">
        <v>4061.0</v>
      </c>
      <c r="N86" s="8"/>
      <c r="O86" s="8"/>
      <c r="P86" s="8"/>
      <c r="Q86" s="8"/>
      <c r="R86" s="8"/>
      <c r="S86" s="8">
        <v>9.703124902E9</v>
      </c>
      <c r="T86" s="10"/>
      <c r="U86" s="7"/>
      <c r="V86" s="23">
        <v>46001.0</v>
      </c>
      <c r="W86" s="32">
        <f t="shared" si="1"/>
        <v>46029</v>
      </c>
      <c r="X86" s="13" t="s">
        <v>98</v>
      </c>
      <c r="Y86" s="7" t="str">
        <f t="shared" si="2"/>
        <v>Expired</v>
      </c>
      <c r="Z86" s="8">
        <f t="shared" si="3"/>
        <v>0</v>
      </c>
      <c r="AA86" s="10"/>
      <c r="AB86" s="8" t="s">
        <v>632</v>
      </c>
      <c r="AC86" s="8" t="s">
        <v>633</v>
      </c>
      <c r="AD86" s="8"/>
      <c r="AE86" s="8"/>
      <c r="AF86" s="8"/>
      <c r="AG86" s="8"/>
      <c r="AH86" s="10"/>
      <c r="AI86" s="10"/>
      <c r="AJ86" s="10"/>
      <c r="AK86" s="10"/>
      <c r="AL86" s="10"/>
      <c r="AM86" s="10"/>
    </row>
    <row r="87" ht="22.5" hidden="1" customHeight="1">
      <c r="A87" s="26"/>
      <c r="B87" s="13" t="s">
        <v>634</v>
      </c>
      <c r="C87" s="13"/>
      <c r="D87" s="19">
        <v>9.858023639E9</v>
      </c>
      <c r="E87" s="13" t="s">
        <v>480</v>
      </c>
      <c r="F87" s="8" t="s">
        <v>42</v>
      </c>
      <c r="G87" s="13" t="s">
        <v>43</v>
      </c>
      <c r="H87" s="13" t="s">
        <v>70</v>
      </c>
      <c r="I87" s="19" t="s">
        <v>45</v>
      </c>
      <c r="J87" s="19"/>
      <c r="K87" s="19">
        <v>9.858023639E9</v>
      </c>
      <c r="L87" s="19"/>
      <c r="M87" s="13">
        <v>4062.0</v>
      </c>
      <c r="N87" s="13"/>
      <c r="O87" s="13"/>
      <c r="P87" s="13"/>
      <c r="Q87" s="13"/>
      <c r="R87" s="13"/>
      <c r="S87" s="13">
        <v>9.7031249E9</v>
      </c>
      <c r="V87" s="25"/>
      <c r="W87" s="27" t="str">
        <f t="shared" si="1"/>
        <v/>
      </c>
      <c r="X87" s="13" t="s">
        <v>98</v>
      </c>
      <c r="Y87" s="7" t="str">
        <f t="shared" si="2"/>
        <v>Expired</v>
      </c>
      <c r="Z87" s="8">
        <f t="shared" si="3"/>
        <v>0</v>
      </c>
      <c r="AB87" s="13" t="s">
        <v>635</v>
      </c>
      <c r="AC87" s="13" t="s">
        <v>636</v>
      </c>
      <c r="AD87" s="13"/>
      <c r="AE87" s="13"/>
      <c r="AF87" s="13"/>
      <c r="AG87" s="13"/>
    </row>
    <row r="88" ht="22.5" hidden="1" customHeight="1">
      <c r="A88" s="26"/>
      <c r="B88" s="13" t="s">
        <v>634</v>
      </c>
      <c r="C88" s="13"/>
      <c r="D88" s="19"/>
      <c r="E88" s="13" t="s">
        <v>480</v>
      </c>
      <c r="F88" s="8" t="s">
        <v>42</v>
      </c>
      <c r="G88" s="13" t="s">
        <v>43</v>
      </c>
      <c r="H88" s="13" t="s">
        <v>70</v>
      </c>
      <c r="I88" s="19" t="s">
        <v>45</v>
      </c>
      <c r="J88" s="19"/>
      <c r="K88" s="19">
        <v>9.858023639E9</v>
      </c>
      <c r="L88" s="19"/>
      <c r="M88" s="13">
        <v>4063.0</v>
      </c>
      <c r="N88" s="13"/>
      <c r="O88" s="13"/>
      <c r="P88" s="13"/>
      <c r="Q88" s="13"/>
      <c r="R88" s="13"/>
      <c r="S88" s="13">
        <v>9.702999623E9</v>
      </c>
      <c r="V88" s="25"/>
      <c r="W88" s="27" t="str">
        <f t="shared" si="1"/>
        <v/>
      </c>
      <c r="X88" s="13" t="s">
        <v>98</v>
      </c>
      <c r="Y88" s="7" t="str">
        <f t="shared" si="2"/>
        <v>Expired</v>
      </c>
      <c r="Z88" s="8">
        <f t="shared" si="3"/>
        <v>0</v>
      </c>
      <c r="AB88" s="13" t="s">
        <v>637</v>
      </c>
      <c r="AC88" s="13" t="s">
        <v>638</v>
      </c>
      <c r="AD88" s="13"/>
      <c r="AE88" s="13"/>
      <c r="AF88" s="13"/>
      <c r="AG88" s="13"/>
    </row>
    <row r="89" ht="22.5" customHeight="1">
      <c r="A89" s="7"/>
      <c r="B89" s="8" t="s">
        <v>639</v>
      </c>
      <c r="C89" s="8" t="s">
        <v>303</v>
      </c>
      <c r="D89" s="9">
        <v>9.851196665E9</v>
      </c>
      <c r="E89" s="8" t="s">
        <v>640</v>
      </c>
      <c r="F89" s="8" t="s">
        <v>42</v>
      </c>
      <c r="G89" s="8" t="s">
        <v>103</v>
      </c>
      <c r="H89" s="8" t="s">
        <v>262</v>
      </c>
      <c r="I89" s="9" t="s">
        <v>641</v>
      </c>
      <c r="J89" s="9"/>
      <c r="K89" s="9">
        <v>9.851176148E9</v>
      </c>
      <c r="L89" s="9" t="s">
        <v>374</v>
      </c>
      <c r="M89" s="8">
        <v>3129.0</v>
      </c>
      <c r="N89" s="8" t="s">
        <v>642</v>
      </c>
      <c r="O89" s="8" t="s">
        <v>643</v>
      </c>
      <c r="P89" s="8"/>
      <c r="Q89" s="8" t="s">
        <v>48</v>
      </c>
      <c r="R89" s="8" t="s">
        <v>644</v>
      </c>
      <c r="S89" s="8">
        <v>9.760842985E9</v>
      </c>
      <c r="T89" s="8">
        <v>2.8369221E7</v>
      </c>
      <c r="U89" s="8">
        <v>2.8828945E7</v>
      </c>
      <c r="V89" s="23">
        <v>45919.0</v>
      </c>
      <c r="W89" s="32">
        <f t="shared" si="1"/>
        <v>46284</v>
      </c>
      <c r="X89" s="8" t="s">
        <v>76</v>
      </c>
      <c r="Y89" s="7" t="str">
        <f t="shared" si="2"/>
        <v>Active</v>
      </c>
      <c r="Z89" s="8">
        <f t="shared" si="3"/>
        <v>169</v>
      </c>
      <c r="AA89" s="7">
        <v>46280.0</v>
      </c>
      <c r="AB89" s="8" t="s">
        <v>645</v>
      </c>
      <c r="AC89" s="8" t="s">
        <v>646</v>
      </c>
      <c r="AD89" s="8"/>
      <c r="AE89" s="8"/>
      <c r="AF89" s="8"/>
      <c r="AG89" s="8"/>
      <c r="AH89" s="10"/>
      <c r="AI89" s="10"/>
      <c r="AJ89" s="10"/>
      <c r="AK89" s="10"/>
      <c r="AL89" s="10"/>
      <c r="AM89" s="10"/>
    </row>
    <row r="90" ht="22.5" customHeight="1">
      <c r="A90" s="7"/>
      <c r="B90" s="8" t="s">
        <v>647</v>
      </c>
      <c r="C90" s="8" t="s">
        <v>40</v>
      </c>
      <c r="D90" s="9">
        <v>9.85118945E9</v>
      </c>
      <c r="E90" s="8" t="s">
        <v>648</v>
      </c>
      <c r="F90" s="8" t="s">
        <v>42</v>
      </c>
      <c r="G90" s="8" t="s">
        <v>103</v>
      </c>
      <c r="H90" s="8" t="s">
        <v>504</v>
      </c>
      <c r="I90" s="9" t="s">
        <v>649</v>
      </c>
      <c r="J90" s="9"/>
      <c r="K90" s="9">
        <v>9.85118945E9</v>
      </c>
      <c r="L90" s="9" t="s">
        <v>650</v>
      </c>
      <c r="M90" s="8">
        <v>164.0</v>
      </c>
      <c r="N90" s="8" t="s">
        <v>651</v>
      </c>
      <c r="O90" s="8" t="s">
        <v>652</v>
      </c>
      <c r="P90" s="8"/>
      <c r="Q90" s="8" t="s">
        <v>48</v>
      </c>
      <c r="R90" s="8" t="s">
        <v>653</v>
      </c>
      <c r="S90" s="8"/>
      <c r="T90" s="8">
        <v>2.0225106E7</v>
      </c>
      <c r="U90" s="10"/>
      <c r="V90" s="23">
        <v>45725.0</v>
      </c>
      <c r="W90" s="32">
        <f t="shared" si="1"/>
        <v>45905</v>
      </c>
      <c r="X90" s="8" t="s">
        <v>63</v>
      </c>
      <c r="Y90" s="7" t="str">
        <f t="shared" si="2"/>
        <v>Expired</v>
      </c>
      <c r="Z90" s="8">
        <f t="shared" si="3"/>
        <v>0</v>
      </c>
      <c r="AA90" s="10"/>
      <c r="AB90" s="8" t="s">
        <v>654</v>
      </c>
      <c r="AC90" s="8" t="s">
        <v>655</v>
      </c>
      <c r="AD90" s="8" t="s">
        <v>656</v>
      </c>
      <c r="AE90" s="8" t="s">
        <v>650</v>
      </c>
      <c r="AF90" s="8">
        <v>3.53701096169491E14</v>
      </c>
      <c r="AG90" s="8"/>
      <c r="AH90" s="10"/>
      <c r="AI90" s="8">
        <v>2.0225106E7</v>
      </c>
      <c r="AJ90" s="10"/>
      <c r="AK90" s="10"/>
      <c r="AL90" s="10"/>
      <c r="AM90" s="10"/>
    </row>
    <row r="91" ht="22.5" customHeight="1">
      <c r="A91" s="7"/>
      <c r="B91" s="8" t="s">
        <v>657</v>
      </c>
      <c r="C91" s="8" t="s">
        <v>658</v>
      </c>
      <c r="D91" s="9"/>
      <c r="E91" s="8" t="s">
        <v>659</v>
      </c>
      <c r="F91" s="8" t="s">
        <v>42</v>
      </c>
      <c r="G91" s="8" t="s">
        <v>103</v>
      </c>
      <c r="H91" s="8" t="s">
        <v>660</v>
      </c>
      <c r="I91" s="9" t="s">
        <v>661</v>
      </c>
      <c r="J91" s="9"/>
      <c r="K91" s="9"/>
      <c r="L91" s="9"/>
      <c r="M91" s="8">
        <v>5695.0</v>
      </c>
      <c r="N91" s="8"/>
      <c r="O91" s="8"/>
      <c r="P91" s="8"/>
      <c r="Q91" s="8" t="s">
        <v>48</v>
      </c>
      <c r="R91" s="8" t="s">
        <v>662</v>
      </c>
      <c r="S91" s="8">
        <v>9.760844729E9</v>
      </c>
      <c r="T91" s="8">
        <v>1.6001541E7</v>
      </c>
      <c r="U91" s="8">
        <v>2.8173135E7</v>
      </c>
      <c r="V91" s="23">
        <v>46082.0</v>
      </c>
      <c r="W91" s="32">
        <f t="shared" si="1"/>
        <v>46112</v>
      </c>
      <c r="X91" s="8" t="s">
        <v>137</v>
      </c>
      <c r="Y91" s="7" t="str">
        <f t="shared" si="2"/>
        <v>Expired</v>
      </c>
      <c r="Z91" s="8">
        <f t="shared" si="3"/>
        <v>0</v>
      </c>
      <c r="AA91" s="7">
        <v>46172.0</v>
      </c>
      <c r="AB91" s="8" t="s">
        <v>663</v>
      </c>
      <c r="AC91" s="8"/>
      <c r="AD91" s="8"/>
      <c r="AE91" s="8"/>
      <c r="AF91" s="8"/>
      <c r="AG91" s="8"/>
      <c r="AH91" s="10"/>
      <c r="AI91" s="8">
        <v>1.1426249E7</v>
      </c>
      <c r="AJ91" s="8">
        <v>1.5434179E7</v>
      </c>
      <c r="AK91" s="10"/>
      <c r="AL91" s="10"/>
      <c r="AM91" s="10"/>
    </row>
    <row r="92" ht="22.5" customHeight="1">
      <c r="A92" s="26"/>
      <c r="B92" s="13" t="s">
        <v>639</v>
      </c>
      <c r="C92" s="13" t="s">
        <v>303</v>
      </c>
      <c r="D92" s="19">
        <v>9.851196665E9</v>
      </c>
      <c r="E92" s="13" t="s">
        <v>664</v>
      </c>
      <c r="F92" s="8" t="s">
        <v>42</v>
      </c>
      <c r="G92" s="13" t="s">
        <v>103</v>
      </c>
      <c r="H92" s="13" t="s">
        <v>665</v>
      </c>
      <c r="I92" s="19" t="s">
        <v>641</v>
      </c>
      <c r="J92" s="19"/>
      <c r="K92" s="19">
        <v>9.851176148E9</v>
      </c>
      <c r="L92" s="19" t="s">
        <v>374</v>
      </c>
      <c r="M92" s="13">
        <v>3130.0</v>
      </c>
      <c r="N92" s="13" t="s">
        <v>666</v>
      </c>
      <c r="O92" s="13" t="s">
        <v>667</v>
      </c>
      <c r="P92" s="13"/>
      <c r="Q92" s="13" t="s">
        <v>48</v>
      </c>
      <c r="R92" s="13" t="s">
        <v>668</v>
      </c>
      <c r="S92" s="13">
        <v>9.760845462E9</v>
      </c>
      <c r="T92" s="13">
        <v>2.9387224E7</v>
      </c>
      <c r="U92" s="13">
        <v>3.0102358E7</v>
      </c>
      <c r="V92" s="25">
        <v>45918.0</v>
      </c>
      <c r="W92" s="32">
        <f t="shared" si="1"/>
        <v>46283</v>
      </c>
      <c r="X92" s="13" t="s">
        <v>76</v>
      </c>
      <c r="Y92" s="7" t="str">
        <f t="shared" si="2"/>
        <v>Active</v>
      </c>
      <c r="Z92" s="8">
        <f t="shared" si="3"/>
        <v>168</v>
      </c>
      <c r="AA92" s="26">
        <v>46280.0</v>
      </c>
      <c r="AB92" s="13" t="s">
        <v>669</v>
      </c>
      <c r="AC92" s="13" t="s">
        <v>670</v>
      </c>
      <c r="AD92" s="13"/>
      <c r="AE92" s="13"/>
      <c r="AF92" s="13"/>
      <c r="AG92" s="13"/>
      <c r="AI92" s="13">
        <v>1.6013266E7</v>
      </c>
      <c r="AJ92" s="13">
        <v>7.8588318E7</v>
      </c>
    </row>
    <row r="93" ht="22.5" hidden="1" customHeight="1">
      <c r="A93" s="26"/>
      <c r="B93" s="13" t="s">
        <v>671</v>
      </c>
      <c r="C93" s="13" t="s">
        <v>40</v>
      </c>
      <c r="D93" s="19"/>
      <c r="E93" s="13" t="s">
        <v>428</v>
      </c>
      <c r="F93" s="8" t="s">
        <v>42</v>
      </c>
      <c r="G93" s="13" t="s">
        <v>103</v>
      </c>
      <c r="H93" s="13" t="s">
        <v>262</v>
      </c>
      <c r="I93" s="19" t="s">
        <v>233</v>
      </c>
      <c r="J93" s="19"/>
      <c r="K93" s="19"/>
      <c r="L93" s="19"/>
      <c r="M93" s="13">
        <v>3457.0</v>
      </c>
      <c r="N93" s="13"/>
      <c r="O93" s="13"/>
      <c r="P93" s="13"/>
      <c r="Q93" s="13" t="s">
        <v>48</v>
      </c>
      <c r="R93" s="13" t="s">
        <v>672</v>
      </c>
      <c r="S93" s="13"/>
      <c r="T93" s="13">
        <v>7.6563822E7</v>
      </c>
      <c r="U93" s="13">
        <v>2.7160125E7</v>
      </c>
      <c r="V93" s="25"/>
      <c r="W93" s="27" t="str">
        <f t="shared" si="1"/>
        <v/>
      </c>
      <c r="X93" s="13" t="s">
        <v>50</v>
      </c>
      <c r="Y93" s="7" t="str">
        <f t="shared" si="2"/>
        <v>Expired</v>
      </c>
      <c r="Z93" s="8">
        <f t="shared" si="3"/>
        <v>0</v>
      </c>
      <c r="AB93" s="13" t="s">
        <v>673</v>
      </c>
      <c r="AC93" s="13" t="s">
        <v>674</v>
      </c>
      <c r="AD93" s="13"/>
      <c r="AE93" s="13"/>
      <c r="AF93" s="13"/>
      <c r="AG93" s="13"/>
      <c r="AI93" s="13">
        <v>7.6563822E7</v>
      </c>
      <c r="AJ93" s="13">
        <v>2.7160125E7</v>
      </c>
    </row>
    <row r="94" ht="22.5" customHeight="1">
      <c r="A94" s="7"/>
      <c r="B94" s="8" t="s">
        <v>454</v>
      </c>
      <c r="C94" s="8" t="s">
        <v>303</v>
      </c>
      <c r="D94" s="9">
        <v>9.854020732E9</v>
      </c>
      <c r="E94" s="8" t="s">
        <v>455</v>
      </c>
      <c r="F94" s="8" t="s">
        <v>42</v>
      </c>
      <c r="G94" s="8" t="s">
        <v>103</v>
      </c>
      <c r="H94" s="8" t="s">
        <v>220</v>
      </c>
      <c r="I94" s="9" t="s">
        <v>221</v>
      </c>
      <c r="J94" s="9"/>
      <c r="K94" s="9"/>
      <c r="L94" s="9"/>
      <c r="M94" s="8">
        <v>5630.0</v>
      </c>
      <c r="N94" s="8"/>
      <c r="O94" s="8"/>
      <c r="P94" s="8"/>
      <c r="Q94" s="8" t="s">
        <v>48</v>
      </c>
      <c r="R94" s="29" t="s">
        <v>675</v>
      </c>
      <c r="S94" s="30">
        <v>9.7608375E9</v>
      </c>
      <c r="T94" s="29">
        <v>4.4014599E7</v>
      </c>
      <c r="U94" s="29">
        <v>1.759025E7</v>
      </c>
      <c r="V94" s="23">
        <v>46033.0</v>
      </c>
      <c r="W94" s="32">
        <f t="shared" si="1"/>
        <v>46063</v>
      </c>
      <c r="X94" s="8" t="s">
        <v>137</v>
      </c>
      <c r="Y94" s="7" t="str">
        <f t="shared" si="2"/>
        <v>Expired</v>
      </c>
      <c r="Z94" s="8">
        <f t="shared" si="3"/>
        <v>0</v>
      </c>
      <c r="AA94" s="7">
        <v>46069.0</v>
      </c>
      <c r="AB94" s="8" t="s">
        <v>676</v>
      </c>
      <c r="AC94" s="8" t="s">
        <v>677</v>
      </c>
      <c r="AD94" s="8"/>
      <c r="AE94" s="8"/>
      <c r="AF94" s="8"/>
      <c r="AG94" s="8"/>
      <c r="AH94" s="8" t="s">
        <v>678</v>
      </c>
      <c r="AI94" s="8">
        <v>2.1882212E7</v>
      </c>
      <c r="AJ94" s="8">
        <v>3.2736101E7</v>
      </c>
      <c r="AK94" s="24">
        <v>0.5652777777777778</v>
      </c>
      <c r="AL94" s="10"/>
      <c r="AM94" s="10"/>
    </row>
    <row r="95" ht="22.5" hidden="1" customHeight="1">
      <c r="A95" s="26"/>
      <c r="B95" s="13" t="s">
        <v>679</v>
      </c>
      <c r="C95" s="13" t="s">
        <v>260</v>
      </c>
      <c r="D95" s="19">
        <v>9.823083688E9</v>
      </c>
      <c r="E95" s="13" t="s">
        <v>680</v>
      </c>
      <c r="F95" s="8" t="s">
        <v>42</v>
      </c>
      <c r="G95" s="13" t="s">
        <v>103</v>
      </c>
      <c r="H95" s="13" t="s">
        <v>681</v>
      </c>
      <c r="I95" s="19" t="s">
        <v>249</v>
      </c>
      <c r="J95" s="19"/>
      <c r="K95" s="19">
        <v>9.855011091E9</v>
      </c>
      <c r="L95" s="19" t="s">
        <v>682</v>
      </c>
      <c r="M95" s="13">
        <v>685.0</v>
      </c>
      <c r="N95" s="13" t="s">
        <v>683</v>
      </c>
      <c r="O95" s="13" t="s">
        <v>684</v>
      </c>
      <c r="P95" s="13"/>
      <c r="Q95" s="13" t="s">
        <v>48</v>
      </c>
      <c r="R95" s="13" t="s">
        <v>685</v>
      </c>
      <c r="S95" s="13">
        <v>9.760837699E9</v>
      </c>
      <c r="T95" s="13">
        <v>1.6377174E7</v>
      </c>
      <c r="V95" s="25"/>
      <c r="W95" s="27" t="str">
        <f t="shared" si="1"/>
        <v/>
      </c>
      <c r="X95" s="13" t="s">
        <v>50</v>
      </c>
      <c r="Y95" s="7" t="str">
        <f t="shared" si="2"/>
        <v>Expired</v>
      </c>
      <c r="Z95" s="8">
        <f t="shared" si="3"/>
        <v>0</v>
      </c>
      <c r="AB95" s="13" t="s">
        <v>686</v>
      </c>
      <c r="AC95" s="13" t="s">
        <v>687</v>
      </c>
      <c r="AD95" s="13"/>
      <c r="AE95" s="13"/>
      <c r="AF95" s="13"/>
      <c r="AG95" s="13"/>
    </row>
    <row r="96" ht="22.5" hidden="1" customHeight="1">
      <c r="A96" s="7"/>
      <c r="B96" s="8" t="s">
        <v>688</v>
      </c>
      <c r="C96" s="8" t="s">
        <v>40</v>
      </c>
      <c r="D96" s="9">
        <v>9.861027766E9</v>
      </c>
      <c r="E96" s="8" t="s">
        <v>689</v>
      </c>
      <c r="F96" s="8" t="s">
        <v>42</v>
      </c>
      <c r="G96" s="8" t="s">
        <v>103</v>
      </c>
      <c r="H96" s="8" t="s">
        <v>262</v>
      </c>
      <c r="I96" s="9" t="s">
        <v>471</v>
      </c>
      <c r="J96" s="9"/>
      <c r="K96" s="9">
        <v>9.861027766E9</v>
      </c>
      <c r="L96" s="9" t="s">
        <v>200</v>
      </c>
      <c r="M96" s="8">
        <v>3356.0</v>
      </c>
      <c r="N96" s="8" t="s">
        <v>690</v>
      </c>
      <c r="O96" s="8" t="s">
        <v>691</v>
      </c>
      <c r="P96" s="8"/>
      <c r="Q96" s="8" t="s">
        <v>48</v>
      </c>
      <c r="R96" s="8" t="s">
        <v>692</v>
      </c>
      <c r="S96" s="8"/>
      <c r="T96" s="8">
        <v>2.1709113E7</v>
      </c>
      <c r="U96" s="8">
        <v>5.0392105E7</v>
      </c>
      <c r="V96" s="23">
        <v>45828.0</v>
      </c>
      <c r="W96" s="32">
        <f t="shared" si="1"/>
        <v>45858</v>
      </c>
      <c r="X96" s="8" t="s">
        <v>137</v>
      </c>
      <c r="Y96" s="7" t="str">
        <f t="shared" si="2"/>
        <v>Expired</v>
      </c>
      <c r="Z96" s="8">
        <f t="shared" si="3"/>
        <v>0</v>
      </c>
      <c r="AA96" s="7">
        <v>46096.0</v>
      </c>
      <c r="AB96" s="8" t="s">
        <v>693</v>
      </c>
      <c r="AC96" s="8" t="s">
        <v>694</v>
      </c>
      <c r="AD96" s="8"/>
      <c r="AE96" s="8"/>
      <c r="AF96" s="8"/>
      <c r="AG96" s="8"/>
      <c r="AH96" s="10"/>
      <c r="AI96" s="8">
        <v>2.1709113E7</v>
      </c>
      <c r="AJ96" s="8">
        <v>5.0392105E7</v>
      </c>
      <c r="AK96" s="24">
        <v>0.7034722222222223</v>
      </c>
      <c r="AL96" s="22"/>
      <c r="AM96" s="22"/>
    </row>
    <row r="97" ht="22.5" hidden="1" customHeight="1">
      <c r="A97" s="7"/>
      <c r="B97" s="8" t="s">
        <v>695</v>
      </c>
      <c r="C97" s="8" t="s">
        <v>40</v>
      </c>
      <c r="D97" s="9">
        <v>9.861027766E9</v>
      </c>
      <c r="E97" s="8" t="s">
        <v>689</v>
      </c>
      <c r="F97" s="8" t="s">
        <v>42</v>
      </c>
      <c r="G97" s="8" t="s">
        <v>103</v>
      </c>
      <c r="H97" s="8" t="s">
        <v>262</v>
      </c>
      <c r="I97" s="9" t="s">
        <v>471</v>
      </c>
      <c r="J97" s="9"/>
      <c r="K97" s="9">
        <v>9.861027766E9</v>
      </c>
      <c r="L97" s="9" t="s">
        <v>696</v>
      </c>
      <c r="M97" s="8">
        <v>3357.0</v>
      </c>
      <c r="N97" s="8"/>
      <c r="O97" s="8"/>
      <c r="P97" s="8"/>
      <c r="Q97" s="8" t="s">
        <v>48</v>
      </c>
      <c r="R97" s="8" t="s">
        <v>697</v>
      </c>
      <c r="S97" s="8"/>
      <c r="T97" s="8">
        <v>1.7486306E7</v>
      </c>
      <c r="U97" s="8">
        <v>2.5863185E7</v>
      </c>
      <c r="V97" s="23">
        <v>45891.0</v>
      </c>
      <c r="W97" s="32">
        <f t="shared" si="1"/>
        <v>45921</v>
      </c>
      <c r="X97" s="8" t="s">
        <v>137</v>
      </c>
      <c r="Y97" s="7" t="str">
        <f t="shared" si="2"/>
        <v>Expired</v>
      </c>
      <c r="Z97" s="8">
        <f t="shared" si="3"/>
        <v>0</v>
      </c>
      <c r="AA97" s="7">
        <f>V97+180</f>
        <v>46071</v>
      </c>
      <c r="AB97" s="8" t="s">
        <v>698</v>
      </c>
      <c r="AC97" s="8" t="s">
        <v>699</v>
      </c>
      <c r="AD97" s="8"/>
      <c r="AE97" s="8"/>
      <c r="AF97" s="8"/>
      <c r="AG97" s="8"/>
      <c r="AH97" s="10"/>
      <c r="AI97" s="8">
        <v>1.7486306E7</v>
      </c>
      <c r="AJ97" s="8">
        <v>2.5863185E7</v>
      </c>
      <c r="AK97" s="24">
        <v>0.5625</v>
      </c>
      <c r="AL97" s="10"/>
      <c r="AM97" s="10"/>
    </row>
    <row r="98" ht="22.5" hidden="1" customHeight="1">
      <c r="A98" s="7"/>
      <c r="B98" s="8" t="s">
        <v>700</v>
      </c>
      <c r="C98" s="8" t="s">
        <v>173</v>
      </c>
      <c r="D98" s="9">
        <v>9.8570885E9</v>
      </c>
      <c r="E98" s="8" t="s">
        <v>701</v>
      </c>
      <c r="F98" s="8" t="s">
        <v>42</v>
      </c>
      <c r="G98" s="8" t="s">
        <v>103</v>
      </c>
      <c r="H98" s="8" t="s">
        <v>58</v>
      </c>
      <c r="I98" s="9" t="s">
        <v>45</v>
      </c>
      <c r="J98" s="9"/>
      <c r="K98" s="9">
        <v>9.842394701E9</v>
      </c>
      <c r="L98" s="9" t="s">
        <v>702</v>
      </c>
      <c r="M98" s="8">
        <v>2864.0</v>
      </c>
      <c r="N98" s="8" t="s">
        <v>703</v>
      </c>
      <c r="O98" s="8" t="s">
        <v>704</v>
      </c>
      <c r="P98" s="8"/>
      <c r="Q98" s="8" t="s">
        <v>48</v>
      </c>
      <c r="R98" s="8" t="s">
        <v>705</v>
      </c>
      <c r="S98" s="8">
        <v>9.760830435E9</v>
      </c>
      <c r="T98" s="8">
        <v>2.55672E7</v>
      </c>
      <c r="U98" s="8">
        <v>8.6122817E7</v>
      </c>
      <c r="V98" s="23">
        <v>45860.0</v>
      </c>
      <c r="W98" s="32">
        <f t="shared" si="1"/>
        <v>46040</v>
      </c>
      <c r="X98" s="8" t="s">
        <v>63</v>
      </c>
      <c r="Y98" s="7" t="str">
        <f t="shared" si="2"/>
        <v>Expired</v>
      </c>
      <c r="Z98" s="8">
        <f t="shared" si="3"/>
        <v>0</v>
      </c>
      <c r="AA98" s="7">
        <v>46040.0</v>
      </c>
      <c r="AB98" s="8" t="s">
        <v>706</v>
      </c>
      <c r="AC98" s="8" t="s">
        <v>707</v>
      </c>
      <c r="AD98" s="8"/>
      <c r="AE98" s="8"/>
      <c r="AF98" s="8"/>
      <c r="AG98" s="8"/>
      <c r="AH98" s="10"/>
      <c r="AI98" s="8">
        <v>1.6245135E7</v>
      </c>
      <c r="AJ98" s="10"/>
      <c r="AK98" s="10"/>
      <c r="AL98" s="10"/>
      <c r="AM98" s="10"/>
    </row>
    <row r="99" ht="22.5" customHeight="1">
      <c r="A99" s="7"/>
      <c r="B99" s="8" t="s">
        <v>708</v>
      </c>
      <c r="C99" s="8" t="s">
        <v>173</v>
      </c>
      <c r="D99" s="9">
        <v>9.857088505E9</v>
      </c>
      <c r="E99" s="8" t="s">
        <v>701</v>
      </c>
      <c r="F99" s="8" t="s">
        <v>42</v>
      </c>
      <c r="G99" s="8" t="s">
        <v>103</v>
      </c>
      <c r="H99" s="8" t="s">
        <v>58</v>
      </c>
      <c r="I99" s="9" t="s">
        <v>45</v>
      </c>
      <c r="J99" s="9"/>
      <c r="K99" s="9">
        <v>9.857688505E9</v>
      </c>
      <c r="L99" s="9" t="s">
        <v>709</v>
      </c>
      <c r="M99" s="8">
        <v>2443.0</v>
      </c>
      <c r="N99" s="8" t="s">
        <v>710</v>
      </c>
      <c r="O99" s="8" t="s">
        <v>711</v>
      </c>
      <c r="P99" s="8"/>
      <c r="Q99" s="8" t="s">
        <v>252</v>
      </c>
      <c r="R99" s="8"/>
      <c r="S99" s="8">
        <v>9.813678469E9</v>
      </c>
      <c r="T99" s="10"/>
      <c r="U99" s="10"/>
      <c r="V99" s="23">
        <v>46089.0</v>
      </c>
      <c r="W99" s="32">
        <f t="shared" si="1"/>
        <v>46117</v>
      </c>
      <c r="X99" s="8" t="s">
        <v>98</v>
      </c>
      <c r="Y99" s="7" t="str">
        <f t="shared" si="2"/>
        <v>Active</v>
      </c>
      <c r="Z99" s="8">
        <f t="shared" si="3"/>
        <v>2</v>
      </c>
      <c r="AA99" s="10"/>
      <c r="AB99" s="8" t="s">
        <v>712</v>
      </c>
      <c r="AC99" s="8" t="s">
        <v>713</v>
      </c>
      <c r="AD99" s="8"/>
      <c r="AE99" s="8"/>
      <c r="AF99" s="8"/>
      <c r="AG99" s="8"/>
      <c r="AH99" s="10"/>
      <c r="AI99" s="10"/>
      <c r="AJ99" s="10"/>
      <c r="AK99" s="10"/>
      <c r="AL99" s="10"/>
      <c r="AM99" s="10"/>
    </row>
    <row r="100" ht="22.5" customHeight="1">
      <c r="A100" s="7"/>
      <c r="B100" s="8" t="s">
        <v>714</v>
      </c>
      <c r="C100" s="8" t="s">
        <v>40</v>
      </c>
      <c r="D100" s="9">
        <v>9.842473148E9</v>
      </c>
      <c r="E100" s="8" t="s">
        <v>437</v>
      </c>
      <c r="F100" s="8" t="s">
        <v>42</v>
      </c>
      <c r="G100" s="8" t="s">
        <v>103</v>
      </c>
      <c r="H100" s="8" t="s">
        <v>715</v>
      </c>
      <c r="I100" s="9" t="s">
        <v>471</v>
      </c>
      <c r="J100" s="9"/>
      <c r="K100" s="9"/>
      <c r="L100" s="9"/>
      <c r="M100" s="8">
        <v>3309.0</v>
      </c>
      <c r="N100" s="8"/>
      <c r="O100" s="8"/>
      <c r="P100" s="8"/>
      <c r="Q100" s="8" t="s">
        <v>48</v>
      </c>
      <c r="R100" s="8" t="s">
        <v>716</v>
      </c>
      <c r="S100" s="8">
        <v>9.760825989E9</v>
      </c>
      <c r="T100" s="8">
        <v>3.1829136E7</v>
      </c>
      <c r="U100" s="8"/>
      <c r="V100" s="23">
        <v>45738.0</v>
      </c>
      <c r="W100" s="32">
        <f t="shared" si="1"/>
        <v>46103</v>
      </c>
      <c r="X100" s="8" t="s">
        <v>76</v>
      </c>
      <c r="Y100" s="7" t="str">
        <f t="shared" si="2"/>
        <v>Expired</v>
      </c>
      <c r="Z100" s="8">
        <f t="shared" si="3"/>
        <v>0</v>
      </c>
      <c r="AA100" s="7">
        <v>46120.0</v>
      </c>
      <c r="AB100" s="8" t="s">
        <v>717</v>
      </c>
      <c r="AC100" s="8" t="s">
        <v>718</v>
      </c>
      <c r="AD100" s="8"/>
      <c r="AE100" s="8"/>
      <c r="AF100" s="8"/>
      <c r="AG100" s="8"/>
      <c r="AH100" s="10"/>
      <c r="AI100" s="8">
        <v>1.4546196E7</v>
      </c>
      <c r="AJ100" s="8">
        <v>2.4838897E7</v>
      </c>
      <c r="AK100" s="24">
        <v>0.5819444444444445</v>
      </c>
      <c r="AL100" s="22"/>
      <c r="AM100" s="22"/>
    </row>
    <row r="101" ht="22.5" customHeight="1">
      <c r="A101" s="7"/>
      <c r="B101" s="8" t="s">
        <v>719</v>
      </c>
      <c r="C101" s="8" t="s">
        <v>720</v>
      </c>
      <c r="D101" s="9">
        <v>9.816935334E9</v>
      </c>
      <c r="E101" s="8" t="s">
        <v>721</v>
      </c>
      <c r="F101" s="8" t="s">
        <v>42</v>
      </c>
      <c r="G101" s="8" t="s">
        <v>103</v>
      </c>
      <c r="H101" s="8" t="s">
        <v>722</v>
      </c>
      <c r="I101" s="9" t="s">
        <v>649</v>
      </c>
      <c r="J101" s="9"/>
      <c r="K101" s="9">
        <v>9.851239643E9</v>
      </c>
      <c r="L101" s="9" t="s">
        <v>723</v>
      </c>
      <c r="M101" s="8">
        <v>2841.0</v>
      </c>
      <c r="N101" s="8" t="s">
        <v>724</v>
      </c>
      <c r="O101" s="8" t="s">
        <v>725</v>
      </c>
      <c r="P101" s="8"/>
      <c r="Q101" s="8" t="s">
        <v>48</v>
      </c>
      <c r="R101" s="13" t="s">
        <v>726</v>
      </c>
      <c r="S101" s="13">
        <v>9.760845061E9</v>
      </c>
      <c r="T101" s="11">
        <v>3.0131133E7</v>
      </c>
      <c r="U101" s="11">
        <v>2.0018149E7</v>
      </c>
      <c r="V101" s="23">
        <v>46086.0</v>
      </c>
      <c r="W101" s="32">
        <f t="shared" si="1"/>
        <v>46266</v>
      </c>
      <c r="X101" s="8" t="s">
        <v>63</v>
      </c>
      <c r="Y101" s="7" t="str">
        <f t="shared" si="2"/>
        <v>Active</v>
      </c>
      <c r="Z101" s="8">
        <f t="shared" si="3"/>
        <v>151</v>
      </c>
      <c r="AA101" s="7">
        <v>46144.0</v>
      </c>
      <c r="AB101" s="8" t="s">
        <v>727</v>
      </c>
      <c r="AC101" s="8">
        <v>9.816935334E9</v>
      </c>
      <c r="AD101" s="8"/>
      <c r="AE101" s="8"/>
      <c r="AF101" s="8"/>
      <c r="AG101" s="8"/>
      <c r="AH101" s="10"/>
      <c r="AI101" s="8"/>
      <c r="AJ101" s="8"/>
      <c r="AK101" s="24">
        <v>0.5604166666666667</v>
      </c>
      <c r="AL101" s="22"/>
      <c r="AM101" s="22"/>
    </row>
    <row r="102" ht="22.5" hidden="1" customHeight="1">
      <c r="A102" s="7"/>
      <c r="B102" s="8" t="s">
        <v>728</v>
      </c>
      <c r="C102" s="8" t="s">
        <v>729</v>
      </c>
      <c r="D102" s="9">
        <v>9.848725165E9</v>
      </c>
      <c r="E102" s="8" t="s">
        <v>359</v>
      </c>
      <c r="F102" s="8" t="s">
        <v>42</v>
      </c>
      <c r="G102" s="8" t="s">
        <v>103</v>
      </c>
      <c r="H102" s="8" t="s">
        <v>730</v>
      </c>
      <c r="I102" s="9" t="s">
        <v>45</v>
      </c>
      <c r="J102" s="9"/>
      <c r="K102" s="9">
        <v>9.848725765E9</v>
      </c>
      <c r="L102" s="9" t="s">
        <v>731</v>
      </c>
      <c r="M102" s="8">
        <v>1336.0</v>
      </c>
      <c r="N102" s="8"/>
      <c r="O102" s="8"/>
      <c r="P102" s="8"/>
      <c r="Q102" s="8" t="s">
        <v>48</v>
      </c>
      <c r="R102" s="8" t="s">
        <v>732</v>
      </c>
      <c r="S102" s="8"/>
      <c r="T102" s="8">
        <v>2.6182314E7</v>
      </c>
      <c r="U102" s="8">
        <v>4.951302E7</v>
      </c>
      <c r="V102" s="7">
        <v>45977.0</v>
      </c>
      <c r="W102" s="12">
        <f t="shared" si="1"/>
        <v>46007</v>
      </c>
      <c r="X102" s="8" t="s">
        <v>137</v>
      </c>
      <c r="Y102" s="7" t="str">
        <f t="shared" si="2"/>
        <v>Expired</v>
      </c>
      <c r="Z102" s="8">
        <f t="shared" si="3"/>
        <v>0</v>
      </c>
      <c r="AA102" s="7">
        <v>46050.0</v>
      </c>
      <c r="AB102" s="8" t="s">
        <v>733</v>
      </c>
      <c r="AC102" s="8"/>
      <c r="AD102" s="8"/>
      <c r="AE102" s="8"/>
      <c r="AF102" s="8"/>
      <c r="AG102" s="8"/>
      <c r="AH102" s="8" t="s">
        <v>734</v>
      </c>
      <c r="AI102" s="8">
        <v>1.7017181E7</v>
      </c>
      <c r="AJ102" s="8"/>
      <c r="AK102" s="24"/>
      <c r="AL102" s="22"/>
      <c r="AM102" s="22"/>
    </row>
    <row r="103" ht="22.5" customHeight="1">
      <c r="A103" s="26"/>
      <c r="B103" s="13" t="s">
        <v>735</v>
      </c>
      <c r="C103" s="13" t="s">
        <v>736</v>
      </c>
      <c r="D103" s="19">
        <v>9.849862261E9</v>
      </c>
      <c r="E103" s="13" t="s">
        <v>737</v>
      </c>
      <c r="F103" s="8" t="s">
        <v>42</v>
      </c>
      <c r="G103" s="13" t="s">
        <v>144</v>
      </c>
      <c r="H103" s="13" t="s">
        <v>738</v>
      </c>
      <c r="I103" s="9" t="s">
        <v>45</v>
      </c>
      <c r="J103" s="19"/>
      <c r="K103" s="19">
        <v>9.849862261E9</v>
      </c>
      <c r="L103" s="19" t="s">
        <v>739</v>
      </c>
      <c r="M103" s="13">
        <v>776.0</v>
      </c>
      <c r="N103" s="13"/>
      <c r="O103" s="13"/>
      <c r="P103" s="13"/>
      <c r="Q103" s="13" t="s">
        <v>252</v>
      </c>
      <c r="R103" s="13"/>
      <c r="S103" s="48">
        <v>9.804187963E9</v>
      </c>
      <c r="T103" s="13"/>
      <c r="U103" s="13"/>
      <c r="V103" s="25">
        <v>46091.0</v>
      </c>
      <c r="W103" s="32">
        <f t="shared" si="1"/>
        <v>46119</v>
      </c>
      <c r="X103" s="13" t="s">
        <v>98</v>
      </c>
      <c r="Y103" s="7" t="str">
        <f t="shared" si="2"/>
        <v>Active</v>
      </c>
      <c r="Z103" s="8">
        <f t="shared" si="3"/>
        <v>4</v>
      </c>
      <c r="AA103" s="37"/>
      <c r="AB103" s="13" t="s">
        <v>740</v>
      </c>
      <c r="AC103" s="13"/>
      <c r="AD103" s="13"/>
      <c r="AE103" s="13"/>
      <c r="AF103" s="13"/>
      <c r="AG103" s="13"/>
      <c r="AI103" s="13"/>
      <c r="AJ103" s="13"/>
      <c r="AK103" s="37"/>
      <c r="AL103" s="46"/>
      <c r="AM103" s="46"/>
    </row>
    <row r="104" ht="22.5" hidden="1" customHeight="1">
      <c r="A104" s="26"/>
      <c r="B104" s="13" t="s">
        <v>741</v>
      </c>
      <c r="C104" s="13" t="s">
        <v>742</v>
      </c>
      <c r="D104" s="19">
        <v>9.851180204E9</v>
      </c>
      <c r="E104" s="13" t="s">
        <v>743</v>
      </c>
      <c r="F104" s="8" t="s">
        <v>42</v>
      </c>
      <c r="G104" s="13" t="s">
        <v>103</v>
      </c>
      <c r="H104" s="13" t="s">
        <v>744</v>
      </c>
      <c r="I104" s="19" t="s">
        <v>745</v>
      </c>
      <c r="J104" s="19"/>
      <c r="K104" s="19">
        <v>9.851180204E9</v>
      </c>
      <c r="L104" s="19" t="s">
        <v>746</v>
      </c>
      <c r="M104" s="13">
        <v>2565.0</v>
      </c>
      <c r="N104" s="13" t="s">
        <v>747</v>
      </c>
      <c r="O104" s="13" t="s">
        <v>748</v>
      </c>
      <c r="P104" s="13"/>
      <c r="Q104" s="13" t="s">
        <v>252</v>
      </c>
      <c r="R104" s="13"/>
      <c r="S104" s="49">
        <v>9.703124893E9</v>
      </c>
      <c r="T104" s="13"/>
      <c r="U104" s="13"/>
      <c r="V104" s="25">
        <v>45738.0</v>
      </c>
      <c r="W104" s="32">
        <f t="shared" si="1"/>
        <v>45766</v>
      </c>
      <c r="X104" s="13" t="s">
        <v>98</v>
      </c>
      <c r="Y104" s="7" t="str">
        <f t="shared" si="2"/>
        <v>Expired</v>
      </c>
      <c r="Z104" s="8">
        <f t="shared" si="3"/>
        <v>0</v>
      </c>
      <c r="AA104" s="37"/>
      <c r="AB104" s="13" t="s">
        <v>749</v>
      </c>
      <c r="AC104" s="13"/>
      <c r="AD104" s="13"/>
      <c r="AE104" s="13"/>
      <c r="AF104" s="13"/>
      <c r="AG104" s="13"/>
      <c r="AI104" s="13"/>
      <c r="AJ104" s="13"/>
      <c r="AK104" s="37"/>
      <c r="AL104" s="46"/>
      <c r="AM104" s="46"/>
    </row>
    <row r="105" ht="22.5" hidden="1" customHeight="1">
      <c r="A105" s="26"/>
      <c r="B105" s="13" t="s">
        <v>741</v>
      </c>
      <c r="C105" s="13" t="s">
        <v>742</v>
      </c>
      <c r="D105" s="19">
        <v>9.851180204E9</v>
      </c>
      <c r="E105" s="13" t="s">
        <v>743</v>
      </c>
      <c r="F105" s="8" t="s">
        <v>42</v>
      </c>
      <c r="G105" s="13" t="s">
        <v>103</v>
      </c>
      <c r="H105" s="13" t="s">
        <v>44</v>
      </c>
      <c r="I105" s="19" t="s">
        <v>745</v>
      </c>
      <c r="J105" s="19"/>
      <c r="K105" s="19">
        <v>9.851180204E9</v>
      </c>
      <c r="L105" s="19" t="s">
        <v>746</v>
      </c>
      <c r="M105" s="13">
        <v>2564.0</v>
      </c>
      <c r="N105" s="13" t="s">
        <v>750</v>
      </c>
      <c r="O105" s="13" t="s">
        <v>751</v>
      </c>
      <c r="P105" s="13"/>
      <c r="Q105" s="13" t="s">
        <v>48</v>
      </c>
      <c r="R105" s="13" t="s">
        <v>752</v>
      </c>
      <c r="S105" s="49"/>
      <c r="T105" s="13">
        <v>5.4441139E7</v>
      </c>
      <c r="U105" s="13">
        <v>2.921513E7</v>
      </c>
      <c r="V105" s="25">
        <v>45919.0</v>
      </c>
      <c r="W105" s="32">
        <f t="shared" si="1"/>
        <v>45949</v>
      </c>
      <c r="X105" s="13" t="s">
        <v>215</v>
      </c>
      <c r="Y105" s="7" t="str">
        <f t="shared" si="2"/>
        <v>Expired</v>
      </c>
      <c r="Z105" s="8">
        <f t="shared" si="3"/>
        <v>0</v>
      </c>
      <c r="AA105" s="26"/>
      <c r="AB105" s="13" t="s">
        <v>753</v>
      </c>
      <c r="AC105" s="13" t="s">
        <v>754</v>
      </c>
      <c r="AD105" s="13"/>
      <c r="AE105" s="13"/>
      <c r="AF105" s="13"/>
      <c r="AG105" s="13"/>
      <c r="AI105" s="13">
        <v>5.4441139E7</v>
      </c>
      <c r="AJ105" s="13">
        <v>2.921513E7</v>
      </c>
      <c r="AK105" s="37"/>
      <c r="AL105" s="46"/>
      <c r="AM105" s="46"/>
    </row>
    <row r="106" ht="22.5" customHeight="1">
      <c r="A106" s="7"/>
      <c r="B106" s="8" t="s">
        <v>755</v>
      </c>
      <c r="C106" s="8" t="s">
        <v>40</v>
      </c>
      <c r="D106" s="9">
        <v>9.85106185E9</v>
      </c>
      <c r="E106" s="8" t="s">
        <v>756</v>
      </c>
      <c r="F106" s="8" t="s">
        <v>42</v>
      </c>
      <c r="G106" s="8" t="s">
        <v>103</v>
      </c>
      <c r="H106" s="8" t="s">
        <v>757</v>
      </c>
      <c r="I106" s="9" t="s">
        <v>425</v>
      </c>
      <c r="J106" s="9"/>
      <c r="K106" s="9">
        <v>9.85106185E9</v>
      </c>
      <c r="L106" s="9" t="s">
        <v>758</v>
      </c>
      <c r="M106" s="8">
        <v>710.0</v>
      </c>
      <c r="N106" s="8"/>
      <c r="O106" s="8"/>
      <c r="P106" s="8"/>
      <c r="Q106" s="8" t="s">
        <v>252</v>
      </c>
      <c r="R106" s="8"/>
      <c r="S106" s="50">
        <v>9.70493407E9</v>
      </c>
      <c r="T106" s="7"/>
      <c r="U106" s="8"/>
      <c r="V106" s="23">
        <v>46088.0</v>
      </c>
      <c r="W106" s="32">
        <f t="shared" si="1"/>
        <v>46116</v>
      </c>
      <c r="X106" s="8" t="s">
        <v>98</v>
      </c>
      <c r="Y106" s="7" t="str">
        <f t="shared" si="2"/>
        <v>Active</v>
      </c>
      <c r="Z106" s="8">
        <f t="shared" si="3"/>
        <v>1</v>
      </c>
      <c r="AA106" s="24"/>
      <c r="AB106" s="8" t="s">
        <v>759</v>
      </c>
      <c r="AC106" s="8"/>
      <c r="AD106" s="8"/>
      <c r="AE106" s="8"/>
      <c r="AF106" s="8"/>
      <c r="AG106" s="8"/>
      <c r="AH106" s="10"/>
      <c r="AI106" s="8"/>
      <c r="AJ106" s="8"/>
      <c r="AK106" s="24"/>
      <c r="AL106" s="22"/>
      <c r="AM106" s="22"/>
    </row>
    <row r="107" ht="22.5" customHeight="1">
      <c r="A107" s="7"/>
      <c r="B107" s="8" t="s">
        <v>760</v>
      </c>
      <c r="C107" s="8" t="s">
        <v>40</v>
      </c>
      <c r="D107" s="9">
        <v>9.841351738E9</v>
      </c>
      <c r="E107" s="8" t="s">
        <v>761</v>
      </c>
      <c r="F107" s="8" t="s">
        <v>42</v>
      </c>
      <c r="G107" s="8" t="s">
        <v>103</v>
      </c>
      <c r="H107" s="8" t="s">
        <v>757</v>
      </c>
      <c r="I107" s="9" t="s">
        <v>425</v>
      </c>
      <c r="J107" s="9"/>
      <c r="K107" s="9">
        <v>9.841351738E9</v>
      </c>
      <c r="L107" s="9" t="s">
        <v>762</v>
      </c>
      <c r="M107" s="8">
        <v>9563.0</v>
      </c>
      <c r="N107" s="8" t="s">
        <v>763</v>
      </c>
      <c r="O107" s="8" t="s">
        <v>764</v>
      </c>
      <c r="P107" s="8"/>
      <c r="Q107" s="8" t="s">
        <v>252</v>
      </c>
      <c r="R107" s="8"/>
      <c r="S107" s="50">
        <v>9.712011308E9</v>
      </c>
      <c r="T107" s="7"/>
      <c r="U107" s="8"/>
      <c r="V107" s="23">
        <v>46101.0</v>
      </c>
      <c r="W107" s="32">
        <f t="shared" si="1"/>
        <v>46129</v>
      </c>
      <c r="X107" s="8" t="s">
        <v>98</v>
      </c>
      <c r="Y107" s="7" t="str">
        <f t="shared" si="2"/>
        <v>Active</v>
      </c>
      <c r="Z107" s="8">
        <f t="shared" si="3"/>
        <v>14</v>
      </c>
      <c r="AA107" s="24"/>
      <c r="AB107" s="8" t="s">
        <v>765</v>
      </c>
      <c r="AC107" s="8"/>
      <c r="AD107" s="7"/>
      <c r="AE107" s="8"/>
      <c r="AF107" s="8"/>
      <c r="AG107" s="8"/>
      <c r="AH107" s="10"/>
      <c r="AI107" s="8"/>
      <c r="AJ107" s="8"/>
      <c r="AK107" s="24"/>
      <c r="AL107" s="22"/>
      <c r="AM107" s="22"/>
    </row>
    <row r="108" ht="22.5" hidden="1" customHeight="1">
      <c r="A108" s="26"/>
      <c r="B108" s="13" t="s">
        <v>766</v>
      </c>
      <c r="C108" s="13" t="s">
        <v>40</v>
      </c>
      <c r="D108" s="19">
        <v>9.851090655E9</v>
      </c>
      <c r="E108" s="13" t="s">
        <v>761</v>
      </c>
      <c r="F108" s="8" t="s">
        <v>42</v>
      </c>
      <c r="G108" s="13" t="s">
        <v>103</v>
      </c>
      <c r="H108" s="13" t="s">
        <v>757</v>
      </c>
      <c r="I108" s="9" t="s">
        <v>425</v>
      </c>
      <c r="J108" s="19"/>
      <c r="K108" s="19">
        <v>9.851090655E9</v>
      </c>
      <c r="L108" s="19" t="s">
        <v>767</v>
      </c>
      <c r="M108" s="13">
        <v>5621.0</v>
      </c>
      <c r="N108" s="13"/>
      <c r="O108" s="13"/>
      <c r="P108" s="13"/>
      <c r="Q108" s="13" t="s">
        <v>252</v>
      </c>
      <c r="R108" s="13"/>
      <c r="S108" s="49">
        <v>9.70299962E9</v>
      </c>
      <c r="T108" s="13"/>
      <c r="U108" s="13"/>
      <c r="V108" s="25">
        <v>45717.0</v>
      </c>
      <c r="W108" s="32">
        <f t="shared" si="1"/>
        <v>45745</v>
      </c>
      <c r="X108" s="13" t="s">
        <v>98</v>
      </c>
      <c r="Y108" s="7" t="str">
        <f t="shared" si="2"/>
        <v>Expired</v>
      </c>
      <c r="Z108" s="8">
        <f t="shared" si="3"/>
        <v>0</v>
      </c>
      <c r="AA108" s="37"/>
      <c r="AB108" s="13" t="s">
        <v>768</v>
      </c>
      <c r="AC108" s="13"/>
      <c r="AD108" s="13"/>
      <c r="AE108" s="13"/>
      <c r="AF108" s="13"/>
      <c r="AG108" s="13"/>
      <c r="AI108" s="13"/>
      <c r="AJ108" s="13"/>
      <c r="AK108" s="37"/>
      <c r="AL108" s="46"/>
      <c r="AM108" s="46"/>
    </row>
    <row r="109" ht="22.5" hidden="1" customHeight="1">
      <c r="A109" s="26"/>
      <c r="B109" s="13" t="s">
        <v>769</v>
      </c>
      <c r="C109" s="13" t="s">
        <v>770</v>
      </c>
      <c r="D109" s="19">
        <v>9.858060001E9</v>
      </c>
      <c r="E109" s="13" t="s">
        <v>737</v>
      </c>
      <c r="F109" s="8" t="s">
        <v>42</v>
      </c>
      <c r="G109" s="13" t="s">
        <v>103</v>
      </c>
      <c r="H109" s="13" t="s">
        <v>771</v>
      </c>
      <c r="I109" s="19" t="s">
        <v>45</v>
      </c>
      <c r="J109" s="19"/>
      <c r="K109" s="19"/>
      <c r="L109" s="19"/>
      <c r="M109" s="13">
        <v>781.0</v>
      </c>
      <c r="N109" s="13"/>
      <c r="O109" s="13"/>
      <c r="P109" s="13"/>
      <c r="Q109" s="13" t="s">
        <v>252</v>
      </c>
      <c r="R109" s="13"/>
      <c r="S109" s="49">
        <v>9.80417242E9</v>
      </c>
      <c r="T109" s="13"/>
      <c r="U109" s="13"/>
      <c r="V109" s="25"/>
      <c r="W109" s="27" t="str">
        <f t="shared" si="1"/>
        <v/>
      </c>
      <c r="X109" s="13" t="s">
        <v>98</v>
      </c>
      <c r="Y109" s="7" t="str">
        <f t="shared" si="2"/>
        <v>Expired</v>
      </c>
      <c r="Z109" s="8">
        <f t="shared" si="3"/>
        <v>0</v>
      </c>
      <c r="AA109" s="37"/>
      <c r="AB109" s="13" t="s">
        <v>772</v>
      </c>
      <c r="AC109" s="13"/>
      <c r="AD109" s="13"/>
      <c r="AE109" s="13"/>
      <c r="AF109" s="13"/>
      <c r="AG109" s="13"/>
      <c r="AI109" s="13"/>
      <c r="AJ109" s="13"/>
      <c r="AK109" s="37"/>
      <c r="AL109" s="46"/>
      <c r="AM109" s="46"/>
    </row>
    <row r="110" ht="22.5" hidden="1" customHeight="1">
      <c r="A110" s="26"/>
      <c r="B110" s="13" t="s">
        <v>769</v>
      </c>
      <c r="C110" s="13" t="s">
        <v>770</v>
      </c>
      <c r="D110" s="19">
        <v>9.858060001E9</v>
      </c>
      <c r="E110" s="13" t="s">
        <v>737</v>
      </c>
      <c r="F110" s="8" t="s">
        <v>42</v>
      </c>
      <c r="G110" s="13" t="s">
        <v>103</v>
      </c>
      <c r="H110" s="13" t="s">
        <v>771</v>
      </c>
      <c r="I110" s="19" t="s">
        <v>45</v>
      </c>
      <c r="J110" s="19"/>
      <c r="K110" s="19"/>
      <c r="L110" s="19"/>
      <c r="M110" s="13">
        <v>779.0</v>
      </c>
      <c r="N110" s="13"/>
      <c r="O110" s="13"/>
      <c r="P110" s="13"/>
      <c r="Q110" s="13" t="s">
        <v>252</v>
      </c>
      <c r="R110" s="13"/>
      <c r="S110" s="49">
        <v>9.804172906E9</v>
      </c>
      <c r="T110" s="13"/>
      <c r="U110" s="13"/>
      <c r="V110" s="25"/>
      <c r="W110" s="27" t="str">
        <f t="shared" si="1"/>
        <v/>
      </c>
      <c r="X110" s="13" t="s">
        <v>98</v>
      </c>
      <c r="Y110" s="7" t="str">
        <f t="shared" si="2"/>
        <v>Expired</v>
      </c>
      <c r="Z110" s="8">
        <f t="shared" si="3"/>
        <v>0</v>
      </c>
      <c r="AA110" s="37"/>
      <c r="AB110" s="13" t="s">
        <v>773</v>
      </c>
      <c r="AC110" s="13"/>
      <c r="AD110" s="13"/>
      <c r="AE110" s="13"/>
      <c r="AF110" s="13"/>
      <c r="AG110" s="13"/>
      <c r="AI110" s="13"/>
      <c r="AJ110" s="13"/>
      <c r="AK110" s="37"/>
      <c r="AL110" s="46"/>
      <c r="AM110" s="46"/>
    </row>
    <row r="111" ht="22.5" hidden="1" customHeight="1">
      <c r="A111" s="26"/>
      <c r="B111" s="13" t="s">
        <v>769</v>
      </c>
      <c r="C111" s="13" t="s">
        <v>770</v>
      </c>
      <c r="D111" s="19">
        <v>9.858060001E9</v>
      </c>
      <c r="E111" s="13" t="s">
        <v>737</v>
      </c>
      <c r="F111" s="8" t="s">
        <v>42</v>
      </c>
      <c r="G111" s="13" t="s">
        <v>103</v>
      </c>
      <c r="H111" s="13" t="s">
        <v>771</v>
      </c>
      <c r="I111" s="19" t="s">
        <v>45</v>
      </c>
      <c r="J111" s="19"/>
      <c r="K111" s="19"/>
      <c r="L111" s="19"/>
      <c r="M111" s="13">
        <v>780.0</v>
      </c>
      <c r="N111" s="13"/>
      <c r="O111" s="13"/>
      <c r="P111" s="13"/>
      <c r="Q111" s="13" t="s">
        <v>252</v>
      </c>
      <c r="R111" s="13"/>
      <c r="S111" s="49">
        <v>9.804187969E9</v>
      </c>
      <c r="T111" s="13"/>
      <c r="U111" s="13"/>
      <c r="V111" s="25"/>
      <c r="W111" s="27" t="str">
        <f t="shared" si="1"/>
        <v/>
      </c>
      <c r="X111" s="13" t="s">
        <v>98</v>
      </c>
      <c r="Y111" s="7" t="str">
        <f t="shared" si="2"/>
        <v>Expired</v>
      </c>
      <c r="Z111" s="8">
        <f t="shared" si="3"/>
        <v>0</v>
      </c>
      <c r="AA111" s="37"/>
      <c r="AB111" s="13" t="s">
        <v>774</v>
      </c>
      <c r="AC111" s="13"/>
      <c r="AD111" s="13"/>
      <c r="AE111" s="13"/>
      <c r="AF111" s="13"/>
      <c r="AG111" s="13"/>
      <c r="AI111" s="13"/>
      <c r="AJ111" s="13"/>
      <c r="AK111" s="37"/>
      <c r="AL111" s="46"/>
      <c r="AM111" s="46"/>
    </row>
    <row r="112" ht="22.5" hidden="1" customHeight="1">
      <c r="A112" s="26"/>
      <c r="B112" s="13" t="s">
        <v>775</v>
      </c>
      <c r="C112" s="13"/>
      <c r="D112" s="19"/>
      <c r="E112" s="13" t="s">
        <v>776</v>
      </c>
      <c r="F112" s="8" t="s">
        <v>42</v>
      </c>
      <c r="G112" s="13" t="s">
        <v>103</v>
      </c>
      <c r="H112" s="13"/>
      <c r="I112" s="19" t="s">
        <v>249</v>
      </c>
      <c r="J112" s="19"/>
      <c r="K112" s="19"/>
      <c r="L112" s="19"/>
      <c r="M112" s="13">
        <v>5702.0</v>
      </c>
      <c r="N112" s="13"/>
      <c r="O112" s="13"/>
      <c r="P112" s="13"/>
      <c r="Q112" s="13" t="s">
        <v>252</v>
      </c>
      <c r="R112" s="13"/>
      <c r="S112" s="49">
        <v>9.808664757E9</v>
      </c>
      <c r="T112" s="13"/>
      <c r="U112" s="13"/>
      <c r="V112" s="25"/>
      <c r="W112" s="27" t="str">
        <f t="shared" si="1"/>
        <v/>
      </c>
      <c r="X112" s="13" t="s">
        <v>98</v>
      </c>
      <c r="Y112" s="7" t="str">
        <f t="shared" si="2"/>
        <v>Expired</v>
      </c>
      <c r="Z112" s="8">
        <f t="shared" si="3"/>
        <v>0</v>
      </c>
      <c r="AA112" s="37"/>
      <c r="AB112" s="13" t="s">
        <v>777</v>
      </c>
      <c r="AC112" s="13"/>
      <c r="AD112" s="13"/>
      <c r="AE112" s="13"/>
      <c r="AF112" s="13"/>
      <c r="AG112" s="13"/>
      <c r="AI112" s="13"/>
      <c r="AJ112" s="13"/>
      <c r="AK112" s="37"/>
      <c r="AL112" s="46"/>
      <c r="AM112" s="46"/>
    </row>
    <row r="113" ht="22.5" hidden="1" customHeight="1">
      <c r="A113" s="26"/>
      <c r="B113" s="13" t="s">
        <v>775</v>
      </c>
      <c r="C113" s="13"/>
      <c r="D113" s="19"/>
      <c r="E113" s="13" t="s">
        <v>776</v>
      </c>
      <c r="F113" s="8" t="s">
        <v>42</v>
      </c>
      <c r="G113" s="13" t="s">
        <v>103</v>
      </c>
      <c r="H113" s="13"/>
      <c r="I113" s="19" t="s">
        <v>249</v>
      </c>
      <c r="J113" s="19"/>
      <c r="K113" s="19"/>
      <c r="L113" s="19"/>
      <c r="M113" s="13">
        <v>5703.0</v>
      </c>
      <c r="N113" s="13"/>
      <c r="O113" s="13"/>
      <c r="P113" s="13"/>
      <c r="Q113" s="13" t="s">
        <v>252</v>
      </c>
      <c r="R113" s="13"/>
      <c r="S113" s="49">
        <v>9.808664754E9</v>
      </c>
      <c r="T113" s="13"/>
      <c r="U113" s="13"/>
      <c r="V113" s="25"/>
      <c r="W113" s="27" t="str">
        <f t="shared" si="1"/>
        <v/>
      </c>
      <c r="X113" s="13" t="s">
        <v>98</v>
      </c>
      <c r="Y113" s="7" t="str">
        <f t="shared" si="2"/>
        <v>Expired</v>
      </c>
      <c r="Z113" s="8">
        <f t="shared" si="3"/>
        <v>0</v>
      </c>
      <c r="AA113" s="37"/>
      <c r="AB113" s="13" t="s">
        <v>778</v>
      </c>
      <c r="AC113" s="13"/>
      <c r="AD113" s="13"/>
      <c r="AE113" s="13"/>
      <c r="AF113" s="13"/>
      <c r="AG113" s="13"/>
      <c r="AI113" s="13"/>
      <c r="AJ113" s="13"/>
      <c r="AK113" s="37"/>
      <c r="AL113" s="46"/>
      <c r="AM113" s="46"/>
    </row>
    <row r="114" ht="22.5" customHeight="1">
      <c r="A114" s="7"/>
      <c r="B114" s="8" t="s">
        <v>779</v>
      </c>
      <c r="C114" s="8" t="s">
        <v>780</v>
      </c>
      <c r="D114" s="9">
        <v>9.804747834E9</v>
      </c>
      <c r="E114" s="8" t="s">
        <v>781</v>
      </c>
      <c r="F114" s="8" t="s">
        <v>42</v>
      </c>
      <c r="G114" s="8" t="s">
        <v>103</v>
      </c>
      <c r="H114" s="8" t="s">
        <v>782</v>
      </c>
      <c r="I114" s="9" t="s">
        <v>45</v>
      </c>
      <c r="J114" s="9"/>
      <c r="K114" s="9"/>
      <c r="L114" s="9"/>
      <c r="M114" s="8">
        <v>2510.0</v>
      </c>
      <c r="N114" s="8"/>
      <c r="O114" s="8"/>
      <c r="P114" s="8"/>
      <c r="Q114" s="8" t="s">
        <v>252</v>
      </c>
      <c r="R114" s="8"/>
      <c r="S114" s="50">
        <v>9.808665337E9</v>
      </c>
      <c r="T114" s="8"/>
      <c r="U114" s="7"/>
      <c r="V114" s="23">
        <v>46082.0</v>
      </c>
      <c r="W114" s="32">
        <f t="shared" si="1"/>
        <v>46110</v>
      </c>
      <c r="X114" s="13" t="s">
        <v>98</v>
      </c>
      <c r="Y114" s="7" t="str">
        <f t="shared" si="2"/>
        <v>Expired</v>
      </c>
      <c r="Z114" s="8">
        <f t="shared" si="3"/>
        <v>0</v>
      </c>
      <c r="AA114" s="24"/>
      <c r="AB114" s="8" t="s">
        <v>783</v>
      </c>
      <c r="AC114" s="8" t="s">
        <v>784</v>
      </c>
      <c r="AD114" s="8"/>
      <c r="AE114" s="8"/>
      <c r="AF114" s="8"/>
      <c r="AG114" s="8"/>
      <c r="AH114" s="10"/>
      <c r="AI114" s="8"/>
      <c r="AJ114" s="8"/>
      <c r="AK114" s="24"/>
      <c r="AL114" s="22"/>
      <c r="AM114" s="22"/>
    </row>
    <row r="115" ht="22.5" hidden="1" customHeight="1">
      <c r="A115" s="26"/>
      <c r="B115" s="13" t="s">
        <v>785</v>
      </c>
      <c r="C115" s="13" t="s">
        <v>346</v>
      </c>
      <c r="D115" s="19">
        <v>9.841461475E9</v>
      </c>
      <c r="E115" s="13" t="s">
        <v>786</v>
      </c>
      <c r="F115" s="8" t="s">
        <v>42</v>
      </c>
      <c r="G115" s="13" t="s">
        <v>103</v>
      </c>
      <c r="H115" s="13" t="s">
        <v>787</v>
      </c>
      <c r="I115" s="19" t="s">
        <v>45</v>
      </c>
      <c r="J115" s="19"/>
      <c r="K115" s="19">
        <v>9.841461475E9</v>
      </c>
      <c r="L115" s="19" t="s">
        <v>788</v>
      </c>
      <c r="M115" s="13">
        <v>6823.0</v>
      </c>
      <c r="N115" s="13"/>
      <c r="O115" s="13"/>
      <c r="P115" s="13"/>
      <c r="Q115" s="13" t="s">
        <v>252</v>
      </c>
      <c r="R115" s="13"/>
      <c r="S115" s="49">
        <v>9.813742442E9</v>
      </c>
      <c r="T115" s="13"/>
      <c r="U115" s="13"/>
      <c r="V115" s="25"/>
      <c r="W115" s="27" t="str">
        <f t="shared" si="1"/>
        <v/>
      </c>
      <c r="X115" s="13" t="s">
        <v>98</v>
      </c>
      <c r="Y115" s="7" t="str">
        <f t="shared" si="2"/>
        <v>Expired</v>
      </c>
      <c r="Z115" s="8">
        <f t="shared" si="3"/>
        <v>0</v>
      </c>
      <c r="AA115" s="37"/>
      <c r="AB115" s="13" t="s">
        <v>789</v>
      </c>
      <c r="AC115" s="13"/>
      <c r="AD115" s="13"/>
      <c r="AE115" s="13"/>
      <c r="AF115" s="13"/>
      <c r="AG115" s="13"/>
      <c r="AI115" s="13"/>
      <c r="AJ115" s="13"/>
      <c r="AK115" s="37"/>
      <c r="AL115" s="46"/>
      <c r="AM115" s="46"/>
    </row>
    <row r="116" ht="22.5" hidden="1" customHeight="1">
      <c r="A116" s="26"/>
      <c r="B116" s="13" t="s">
        <v>785</v>
      </c>
      <c r="C116" s="13" t="s">
        <v>346</v>
      </c>
      <c r="D116" s="19">
        <v>9.841461475E9</v>
      </c>
      <c r="E116" s="13" t="s">
        <v>786</v>
      </c>
      <c r="F116" s="8" t="s">
        <v>42</v>
      </c>
      <c r="G116" s="13" t="s">
        <v>103</v>
      </c>
      <c r="H116" s="13" t="s">
        <v>787</v>
      </c>
      <c r="I116" s="19" t="s">
        <v>45</v>
      </c>
      <c r="J116" s="19"/>
      <c r="K116" s="19">
        <v>9.841461475E9</v>
      </c>
      <c r="L116" s="19" t="s">
        <v>788</v>
      </c>
      <c r="M116" s="13">
        <v>6824.0</v>
      </c>
      <c r="N116" s="13"/>
      <c r="O116" s="13"/>
      <c r="P116" s="13"/>
      <c r="Q116" s="13" t="s">
        <v>252</v>
      </c>
      <c r="R116" s="13"/>
      <c r="S116" s="49">
        <v>9.808664391E9</v>
      </c>
      <c r="T116" s="13"/>
      <c r="U116" s="13"/>
      <c r="V116" s="25"/>
      <c r="W116" s="27" t="str">
        <f t="shared" si="1"/>
        <v/>
      </c>
      <c r="X116" s="13" t="s">
        <v>98</v>
      </c>
      <c r="Y116" s="7" t="str">
        <f t="shared" si="2"/>
        <v>Expired</v>
      </c>
      <c r="Z116" s="8">
        <f t="shared" si="3"/>
        <v>0</v>
      </c>
      <c r="AA116" s="37"/>
      <c r="AB116" s="13" t="s">
        <v>790</v>
      </c>
      <c r="AC116" s="13"/>
      <c r="AD116" s="13"/>
      <c r="AE116" s="13"/>
      <c r="AF116" s="13"/>
      <c r="AG116" s="13"/>
      <c r="AI116" s="13"/>
      <c r="AJ116" s="13"/>
      <c r="AK116" s="37"/>
      <c r="AL116" s="46"/>
      <c r="AM116" s="46"/>
    </row>
    <row r="117" ht="22.5" hidden="1" customHeight="1">
      <c r="A117" s="26"/>
      <c r="B117" s="13" t="s">
        <v>791</v>
      </c>
      <c r="C117" s="13" t="s">
        <v>346</v>
      </c>
      <c r="D117" s="19">
        <v>9.847337634E9</v>
      </c>
      <c r="E117" s="13" t="s">
        <v>786</v>
      </c>
      <c r="F117" s="8" t="s">
        <v>42</v>
      </c>
      <c r="G117" s="13" t="s">
        <v>103</v>
      </c>
      <c r="H117" s="13" t="s">
        <v>787</v>
      </c>
      <c r="I117" s="19" t="s">
        <v>45</v>
      </c>
      <c r="J117" s="19"/>
      <c r="K117" s="19">
        <v>9.847337634E9</v>
      </c>
      <c r="L117" s="19" t="s">
        <v>792</v>
      </c>
      <c r="M117" s="13">
        <v>6825.0</v>
      </c>
      <c r="N117" s="13"/>
      <c r="O117" s="13"/>
      <c r="P117" s="13"/>
      <c r="Q117" s="13" t="s">
        <v>252</v>
      </c>
      <c r="R117" s="13"/>
      <c r="S117" s="49">
        <v>9.828944448E9</v>
      </c>
      <c r="T117" s="13"/>
      <c r="U117" s="13"/>
      <c r="V117" s="25"/>
      <c r="W117" s="27" t="str">
        <f t="shared" si="1"/>
        <v/>
      </c>
      <c r="X117" s="13" t="s">
        <v>98</v>
      </c>
      <c r="Y117" s="7" t="str">
        <f t="shared" si="2"/>
        <v>Expired</v>
      </c>
      <c r="Z117" s="8">
        <f t="shared" si="3"/>
        <v>0</v>
      </c>
      <c r="AA117" s="37"/>
      <c r="AB117" s="13" t="s">
        <v>793</v>
      </c>
      <c r="AC117" s="13"/>
      <c r="AD117" s="13"/>
      <c r="AE117" s="13"/>
      <c r="AF117" s="13"/>
      <c r="AG117" s="13"/>
      <c r="AI117" s="13"/>
      <c r="AJ117" s="13"/>
      <c r="AK117" s="37"/>
      <c r="AL117" s="46"/>
      <c r="AM117" s="46"/>
    </row>
    <row r="118" ht="22.5" hidden="1" customHeight="1">
      <c r="A118" s="26"/>
      <c r="B118" s="13" t="s">
        <v>794</v>
      </c>
      <c r="C118" s="13" t="s">
        <v>230</v>
      </c>
      <c r="D118" s="19"/>
      <c r="E118" s="13" t="s">
        <v>256</v>
      </c>
      <c r="F118" s="8" t="s">
        <v>42</v>
      </c>
      <c r="G118" s="13" t="s">
        <v>103</v>
      </c>
      <c r="H118" s="13" t="s">
        <v>248</v>
      </c>
      <c r="I118" s="19" t="s">
        <v>249</v>
      </c>
      <c r="J118" s="19"/>
      <c r="K118" s="19"/>
      <c r="L118" s="19"/>
      <c r="M118" s="13">
        <v>5337.0</v>
      </c>
      <c r="N118" s="13"/>
      <c r="O118" s="13"/>
      <c r="P118" s="13"/>
      <c r="Q118" s="13" t="s">
        <v>252</v>
      </c>
      <c r="R118" s="13"/>
      <c r="S118" s="49">
        <v>9.813675545E9</v>
      </c>
      <c r="T118" s="13"/>
      <c r="U118" s="13"/>
      <c r="V118" s="25"/>
      <c r="W118" s="27" t="str">
        <f t="shared" si="1"/>
        <v/>
      </c>
      <c r="X118" s="13" t="s">
        <v>98</v>
      </c>
      <c r="Y118" s="7" t="str">
        <f t="shared" si="2"/>
        <v>Expired</v>
      </c>
      <c r="Z118" s="8">
        <f t="shared" si="3"/>
        <v>0</v>
      </c>
      <c r="AA118" s="37"/>
      <c r="AB118" s="13" t="s">
        <v>795</v>
      </c>
      <c r="AC118" s="13"/>
      <c r="AD118" s="13"/>
      <c r="AE118" s="13"/>
      <c r="AF118" s="13"/>
      <c r="AG118" s="13"/>
      <c r="AI118" s="13"/>
      <c r="AJ118" s="13"/>
      <c r="AK118" s="37"/>
      <c r="AL118" s="46"/>
      <c r="AM118" s="46"/>
    </row>
    <row r="119" ht="22.5" customHeight="1">
      <c r="A119" s="7"/>
      <c r="B119" s="8" t="s">
        <v>796</v>
      </c>
      <c r="C119" s="8" t="s">
        <v>230</v>
      </c>
      <c r="D119" s="9">
        <v>9.814875375E9</v>
      </c>
      <c r="E119" s="8" t="s">
        <v>411</v>
      </c>
      <c r="F119" s="8" t="s">
        <v>42</v>
      </c>
      <c r="G119" s="8" t="s">
        <v>103</v>
      </c>
      <c r="H119" s="8" t="s">
        <v>232</v>
      </c>
      <c r="I119" s="9" t="s">
        <v>45</v>
      </c>
      <c r="J119" s="9"/>
      <c r="K119" s="9" t="s">
        <v>462</v>
      </c>
      <c r="L119" s="9" t="s">
        <v>236</v>
      </c>
      <c r="M119" s="8">
        <v>3442.0</v>
      </c>
      <c r="N119" s="8" t="s">
        <v>797</v>
      </c>
      <c r="O119" s="8" t="s">
        <v>798</v>
      </c>
      <c r="P119" s="8"/>
      <c r="Q119" s="8" t="s">
        <v>48</v>
      </c>
      <c r="R119" s="8" t="s">
        <v>799</v>
      </c>
      <c r="S119" s="50">
        <v>9.760839465E9</v>
      </c>
      <c r="T119" s="8">
        <v>2.5538284E7</v>
      </c>
      <c r="U119" s="8">
        <v>1.4106295E7</v>
      </c>
      <c r="V119" s="23">
        <v>46054.0</v>
      </c>
      <c r="W119" s="32">
        <f t="shared" si="1"/>
        <v>46084</v>
      </c>
      <c r="X119" s="8" t="s">
        <v>137</v>
      </c>
      <c r="Y119" s="7" t="str">
        <f t="shared" si="2"/>
        <v>Expired</v>
      </c>
      <c r="Z119" s="8">
        <f t="shared" si="3"/>
        <v>0</v>
      </c>
      <c r="AA119" s="7">
        <v>46176.0</v>
      </c>
      <c r="AB119" s="8" t="s">
        <v>800</v>
      </c>
      <c r="AC119" s="8" t="s">
        <v>801</v>
      </c>
      <c r="AD119" s="8"/>
      <c r="AE119" s="8"/>
      <c r="AF119" s="8"/>
      <c r="AG119" s="8"/>
      <c r="AH119" s="10"/>
      <c r="AI119" s="8">
        <v>2.3782142E7</v>
      </c>
      <c r="AJ119" s="8">
        <v>3.2598178E7</v>
      </c>
      <c r="AK119" s="24"/>
      <c r="AL119" s="22"/>
      <c r="AM119" s="22"/>
    </row>
    <row r="120" ht="22.5" customHeight="1">
      <c r="A120" s="7"/>
      <c r="B120" s="8" t="s">
        <v>796</v>
      </c>
      <c r="C120" s="8" t="s">
        <v>230</v>
      </c>
      <c r="D120" s="9">
        <v>9.814875375E9</v>
      </c>
      <c r="E120" s="8" t="s">
        <v>411</v>
      </c>
      <c r="F120" s="8" t="s">
        <v>42</v>
      </c>
      <c r="G120" s="8" t="s">
        <v>103</v>
      </c>
      <c r="H120" s="8" t="s">
        <v>232</v>
      </c>
      <c r="I120" s="9" t="s">
        <v>45</v>
      </c>
      <c r="J120" s="9"/>
      <c r="K120" s="9" t="s">
        <v>462</v>
      </c>
      <c r="L120" s="9" t="s">
        <v>236</v>
      </c>
      <c r="M120" s="8">
        <v>3441.0</v>
      </c>
      <c r="N120" s="8" t="s">
        <v>802</v>
      </c>
      <c r="O120" s="8" t="s">
        <v>803</v>
      </c>
      <c r="P120" s="8"/>
      <c r="Q120" s="8" t="s">
        <v>48</v>
      </c>
      <c r="R120" s="8" t="s">
        <v>804</v>
      </c>
      <c r="S120" s="50">
        <v>9.760839273E9</v>
      </c>
      <c r="T120" s="8">
        <v>5.4722067E7</v>
      </c>
      <c r="U120" s="8">
        <v>1.3849311E7</v>
      </c>
      <c r="V120" s="23">
        <v>46054.0</v>
      </c>
      <c r="W120" s="32">
        <f t="shared" si="1"/>
        <v>46084</v>
      </c>
      <c r="X120" s="8" t="s">
        <v>137</v>
      </c>
      <c r="Y120" s="7" t="str">
        <f t="shared" si="2"/>
        <v>Expired</v>
      </c>
      <c r="Z120" s="8">
        <f t="shared" si="3"/>
        <v>0</v>
      </c>
      <c r="AA120" s="24"/>
      <c r="AB120" s="8" t="s">
        <v>805</v>
      </c>
      <c r="AC120" s="8" t="s">
        <v>806</v>
      </c>
      <c r="AD120" s="8"/>
      <c r="AE120" s="8"/>
      <c r="AF120" s="8"/>
      <c r="AG120" s="8"/>
      <c r="AH120" s="10"/>
      <c r="AI120" s="8">
        <v>5.4722067E7</v>
      </c>
      <c r="AJ120" s="8">
        <v>1.3849311E7</v>
      </c>
      <c r="AK120" s="24"/>
      <c r="AL120" s="22"/>
      <c r="AM120" s="22"/>
    </row>
    <row r="121" ht="22.5" customHeight="1">
      <c r="A121" s="7"/>
      <c r="B121" s="8" t="s">
        <v>807</v>
      </c>
      <c r="C121" s="8" t="s">
        <v>40</v>
      </c>
      <c r="D121" s="9">
        <v>9.851083673E9</v>
      </c>
      <c r="E121" s="8" t="s">
        <v>808</v>
      </c>
      <c r="F121" s="8" t="s">
        <v>42</v>
      </c>
      <c r="G121" s="8" t="s">
        <v>103</v>
      </c>
      <c r="H121" s="8" t="s">
        <v>715</v>
      </c>
      <c r="I121" s="9" t="s">
        <v>45</v>
      </c>
      <c r="J121" s="9"/>
      <c r="K121" s="9"/>
      <c r="L121" s="9"/>
      <c r="M121" s="8">
        <v>3137.0</v>
      </c>
      <c r="N121" s="8"/>
      <c r="O121" s="8"/>
      <c r="P121" s="8"/>
      <c r="Q121" s="8" t="s">
        <v>48</v>
      </c>
      <c r="R121" s="8" t="s">
        <v>809</v>
      </c>
      <c r="S121" s="8">
        <v>9.760837805E9</v>
      </c>
      <c r="T121" s="8">
        <v>1.3171168E7</v>
      </c>
      <c r="U121" s="8"/>
      <c r="V121" s="23">
        <v>45753.0</v>
      </c>
      <c r="W121" s="32">
        <f t="shared" si="1"/>
        <v>45933</v>
      </c>
      <c r="X121" s="8" t="s">
        <v>63</v>
      </c>
      <c r="Y121" s="7" t="str">
        <f t="shared" si="2"/>
        <v>Expired</v>
      </c>
      <c r="Z121" s="8">
        <f t="shared" si="3"/>
        <v>0</v>
      </c>
      <c r="AA121" s="24"/>
      <c r="AB121" s="8" t="s">
        <v>810</v>
      </c>
      <c r="AC121" s="8" t="s">
        <v>811</v>
      </c>
      <c r="AD121" s="8"/>
      <c r="AE121" s="8"/>
      <c r="AF121" s="8"/>
      <c r="AG121" s="8"/>
      <c r="AH121" s="10"/>
      <c r="AI121" s="8">
        <v>1.3171168E7</v>
      </c>
      <c r="AJ121" s="8"/>
      <c r="AK121" s="24"/>
      <c r="AL121" s="22"/>
      <c r="AM121" s="22"/>
    </row>
    <row r="122" ht="22.5" customHeight="1">
      <c r="A122" s="7"/>
      <c r="B122" s="8" t="s">
        <v>807</v>
      </c>
      <c r="C122" s="8" t="s">
        <v>40</v>
      </c>
      <c r="D122" s="9">
        <v>9.851083673E9</v>
      </c>
      <c r="E122" s="8" t="s">
        <v>808</v>
      </c>
      <c r="F122" s="8" t="s">
        <v>42</v>
      </c>
      <c r="G122" s="8" t="s">
        <v>103</v>
      </c>
      <c r="H122" s="8" t="s">
        <v>715</v>
      </c>
      <c r="I122" s="9" t="s">
        <v>45</v>
      </c>
      <c r="J122" s="9"/>
      <c r="K122" s="9"/>
      <c r="L122" s="9"/>
      <c r="M122" s="8">
        <v>3139.0</v>
      </c>
      <c r="N122" s="8"/>
      <c r="O122" s="8"/>
      <c r="P122" s="8"/>
      <c r="Q122" s="8" t="s">
        <v>48</v>
      </c>
      <c r="R122" s="31"/>
      <c r="S122" s="8" t="s">
        <v>812</v>
      </c>
      <c r="T122" s="8">
        <v>2.4504148E7</v>
      </c>
      <c r="V122" s="23">
        <v>46096.0</v>
      </c>
      <c r="W122" s="32">
        <f t="shared" si="1"/>
        <v>46276</v>
      </c>
      <c r="X122" s="8" t="s">
        <v>63</v>
      </c>
      <c r="Y122" s="7" t="str">
        <f t="shared" si="2"/>
        <v>Active</v>
      </c>
      <c r="Z122" s="8">
        <f t="shared" si="3"/>
        <v>161</v>
      </c>
      <c r="AA122" s="26">
        <v>46124.0</v>
      </c>
      <c r="AB122" s="8" t="s">
        <v>813</v>
      </c>
      <c r="AC122" s="8" t="s">
        <v>814</v>
      </c>
      <c r="AD122" s="8"/>
      <c r="AE122" s="8"/>
      <c r="AF122" s="8"/>
      <c r="AG122" s="8"/>
      <c r="AH122" s="10"/>
      <c r="AI122" s="8">
        <v>2.7571324E7</v>
      </c>
      <c r="AL122" s="10"/>
      <c r="AM122" s="10"/>
    </row>
    <row r="123" ht="22.5" customHeight="1">
      <c r="A123" s="7"/>
      <c r="B123" s="8" t="s">
        <v>815</v>
      </c>
      <c r="C123" s="8" t="s">
        <v>40</v>
      </c>
      <c r="D123" s="9">
        <v>9.851223012E9</v>
      </c>
      <c r="E123" s="8" t="s">
        <v>41</v>
      </c>
      <c r="F123" s="8" t="s">
        <v>42</v>
      </c>
      <c r="G123" s="8" t="s">
        <v>103</v>
      </c>
      <c r="H123" s="8" t="s">
        <v>816</v>
      </c>
      <c r="I123" s="9" t="s">
        <v>319</v>
      </c>
      <c r="J123" s="9"/>
      <c r="K123" s="9">
        <v>9.808830619E9</v>
      </c>
      <c r="L123" s="9" t="s">
        <v>46</v>
      </c>
      <c r="M123" s="8">
        <v>5433.0</v>
      </c>
      <c r="N123" s="8" t="s">
        <v>817</v>
      </c>
      <c r="O123" s="8" t="s">
        <v>818</v>
      </c>
      <c r="P123" s="8"/>
      <c r="Q123" s="8" t="s">
        <v>252</v>
      </c>
      <c r="R123" s="8"/>
      <c r="S123" s="8">
        <v>9.804187371E9</v>
      </c>
      <c r="T123" s="7"/>
      <c r="U123" s="8"/>
      <c r="V123" s="23">
        <v>45996.0</v>
      </c>
      <c r="W123" s="32">
        <f t="shared" si="1"/>
        <v>46176</v>
      </c>
      <c r="X123" s="8" t="s">
        <v>63</v>
      </c>
      <c r="Y123" s="7" t="str">
        <f t="shared" si="2"/>
        <v>Active</v>
      </c>
      <c r="Z123" s="8">
        <f t="shared" si="3"/>
        <v>61</v>
      </c>
      <c r="AA123" s="7">
        <v>46120.0</v>
      </c>
      <c r="AB123" s="8" t="s">
        <v>819</v>
      </c>
      <c r="AC123" s="8" t="s">
        <v>820</v>
      </c>
      <c r="AD123" s="8"/>
      <c r="AE123" s="8"/>
      <c r="AF123" s="8"/>
      <c r="AG123" s="8"/>
      <c r="AH123" s="10"/>
      <c r="AI123" s="8"/>
      <c r="AJ123" s="8"/>
      <c r="AK123" s="24"/>
      <c r="AL123" s="22"/>
      <c r="AM123" s="22"/>
    </row>
    <row r="124" ht="22.5" customHeight="1">
      <c r="A124" s="7"/>
      <c r="B124" s="8" t="s">
        <v>815</v>
      </c>
      <c r="C124" s="8" t="s">
        <v>40</v>
      </c>
      <c r="D124" s="9">
        <v>9.851223012E9</v>
      </c>
      <c r="E124" s="8" t="s">
        <v>41</v>
      </c>
      <c r="F124" s="8" t="s">
        <v>42</v>
      </c>
      <c r="G124" s="8" t="s">
        <v>103</v>
      </c>
      <c r="H124" s="8" t="s">
        <v>816</v>
      </c>
      <c r="I124" s="9" t="s">
        <v>319</v>
      </c>
      <c r="J124" s="9"/>
      <c r="K124" s="9">
        <v>9.808830619E9</v>
      </c>
      <c r="L124" s="9" t="s">
        <v>46</v>
      </c>
      <c r="M124" s="8">
        <v>5434.0</v>
      </c>
      <c r="N124" s="8" t="s">
        <v>821</v>
      </c>
      <c r="O124" s="8" t="s">
        <v>822</v>
      </c>
      <c r="P124" s="8"/>
      <c r="Q124" s="8" t="s">
        <v>252</v>
      </c>
      <c r="R124" s="8"/>
      <c r="S124" s="8">
        <v>9.704934067E9</v>
      </c>
      <c r="T124" s="8"/>
      <c r="U124" s="8"/>
      <c r="V124" s="23">
        <v>45996.0</v>
      </c>
      <c r="W124" s="32">
        <f t="shared" si="1"/>
        <v>46176</v>
      </c>
      <c r="X124" s="8" t="s">
        <v>63</v>
      </c>
      <c r="Y124" s="7" t="str">
        <f t="shared" si="2"/>
        <v>Active</v>
      </c>
      <c r="Z124" s="8">
        <f t="shared" si="3"/>
        <v>61</v>
      </c>
      <c r="AA124" s="7">
        <v>46098.0</v>
      </c>
      <c r="AB124" s="8" t="s">
        <v>823</v>
      </c>
      <c r="AC124" s="8" t="s">
        <v>567</v>
      </c>
      <c r="AD124" s="8"/>
      <c r="AE124" s="8"/>
      <c r="AF124" s="8"/>
      <c r="AG124" s="8"/>
      <c r="AH124" s="10"/>
      <c r="AI124" s="8"/>
      <c r="AJ124" s="8"/>
      <c r="AK124" s="24"/>
      <c r="AL124" s="22"/>
      <c r="AM124" s="22"/>
    </row>
    <row r="125" ht="22.5" customHeight="1">
      <c r="A125" s="7"/>
      <c r="B125" s="8" t="s">
        <v>824</v>
      </c>
      <c r="C125" s="8" t="s">
        <v>468</v>
      </c>
      <c r="D125" s="9">
        <v>9.841496747E9</v>
      </c>
      <c r="E125" s="8" t="s">
        <v>825</v>
      </c>
      <c r="F125" s="8" t="s">
        <v>42</v>
      </c>
      <c r="G125" s="8" t="s">
        <v>103</v>
      </c>
      <c r="H125" s="8" t="s">
        <v>470</v>
      </c>
      <c r="I125" s="9" t="s">
        <v>471</v>
      </c>
      <c r="J125" s="9"/>
      <c r="K125" s="9">
        <v>9.852082399E9</v>
      </c>
      <c r="L125" s="9" t="s">
        <v>826</v>
      </c>
      <c r="M125" s="8">
        <v>607.0</v>
      </c>
      <c r="N125" s="8"/>
      <c r="O125" s="8"/>
      <c r="P125" s="8"/>
      <c r="Q125" s="8" t="s">
        <v>48</v>
      </c>
      <c r="R125" s="8" t="s">
        <v>827</v>
      </c>
      <c r="S125" s="8">
        <v>9.760837537E9</v>
      </c>
      <c r="T125" s="8">
        <v>9.6973269E7</v>
      </c>
      <c r="U125" s="8">
        <v>8405650.0</v>
      </c>
      <c r="V125" s="23">
        <v>46090.0</v>
      </c>
      <c r="W125" s="32">
        <f t="shared" si="1"/>
        <v>46270</v>
      </c>
      <c r="X125" s="8" t="s">
        <v>63</v>
      </c>
      <c r="Y125" s="7" t="str">
        <f t="shared" si="2"/>
        <v>Active</v>
      </c>
      <c r="Z125" s="8">
        <f t="shared" si="3"/>
        <v>155</v>
      </c>
      <c r="AA125" s="7">
        <v>46270.0</v>
      </c>
      <c r="AB125" s="8" t="s">
        <v>828</v>
      </c>
      <c r="AC125" s="8" t="s">
        <v>829</v>
      </c>
      <c r="AD125" s="8"/>
      <c r="AE125" s="8"/>
      <c r="AF125" s="8"/>
      <c r="AG125" s="8"/>
      <c r="AH125" s="10"/>
      <c r="AI125" s="8">
        <v>1.2228115E7</v>
      </c>
      <c r="AJ125" s="8"/>
      <c r="AK125" s="24"/>
      <c r="AL125" s="22"/>
      <c r="AM125" s="22"/>
    </row>
    <row r="126" ht="22.5" customHeight="1">
      <c r="A126" s="7"/>
      <c r="B126" s="8" t="s">
        <v>830</v>
      </c>
      <c r="C126" s="8" t="s">
        <v>468</v>
      </c>
      <c r="D126" s="9">
        <v>9.841496747E9</v>
      </c>
      <c r="E126" s="8" t="s">
        <v>825</v>
      </c>
      <c r="F126" s="8" t="s">
        <v>42</v>
      </c>
      <c r="G126" s="8" t="s">
        <v>103</v>
      </c>
      <c r="H126" s="8" t="s">
        <v>470</v>
      </c>
      <c r="I126" s="9" t="s">
        <v>471</v>
      </c>
      <c r="J126" s="9"/>
      <c r="K126" s="9">
        <v>9.852082399E9</v>
      </c>
      <c r="L126" s="9" t="s">
        <v>826</v>
      </c>
      <c r="M126" s="8">
        <v>608.0</v>
      </c>
      <c r="N126" s="8"/>
      <c r="O126" s="8"/>
      <c r="P126" s="8"/>
      <c r="Q126" s="8" t="s">
        <v>48</v>
      </c>
      <c r="R126" s="8" t="s">
        <v>831</v>
      </c>
      <c r="S126" s="8">
        <v>9.760830931E9</v>
      </c>
      <c r="T126" s="8">
        <v>1.654924E7</v>
      </c>
      <c r="U126" s="8">
        <v>1.5976155E7</v>
      </c>
      <c r="V126" s="23">
        <v>46082.0</v>
      </c>
      <c r="W126" s="32">
        <f t="shared" si="1"/>
        <v>46262</v>
      </c>
      <c r="X126" s="8" t="s">
        <v>63</v>
      </c>
      <c r="Y126" s="7" t="str">
        <f t="shared" si="2"/>
        <v>Active</v>
      </c>
      <c r="Z126" s="8">
        <f t="shared" si="3"/>
        <v>147</v>
      </c>
      <c r="AA126" s="7">
        <v>46232.0</v>
      </c>
      <c r="AB126" s="8" t="s">
        <v>832</v>
      </c>
      <c r="AC126" s="8" t="s">
        <v>833</v>
      </c>
      <c r="AD126" s="8"/>
      <c r="AE126" s="8"/>
      <c r="AF126" s="8"/>
      <c r="AG126" s="8"/>
      <c r="AH126" s="10"/>
      <c r="AI126" s="8">
        <v>2.3052203E7</v>
      </c>
      <c r="AJ126" s="8"/>
      <c r="AK126" s="24"/>
      <c r="AL126" s="22"/>
      <c r="AM126" s="22"/>
    </row>
    <row r="127" ht="22.5" customHeight="1">
      <c r="A127" s="7"/>
      <c r="B127" s="8" t="s">
        <v>834</v>
      </c>
      <c r="C127" s="8" t="s">
        <v>658</v>
      </c>
      <c r="D127" s="9">
        <v>9.809122278E9</v>
      </c>
      <c r="E127" s="8" t="s">
        <v>835</v>
      </c>
      <c r="F127" s="8" t="s">
        <v>42</v>
      </c>
      <c r="G127" s="8" t="s">
        <v>103</v>
      </c>
      <c r="H127" s="8" t="s">
        <v>836</v>
      </c>
      <c r="I127" s="9" t="s">
        <v>45</v>
      </c>
      <c r="J127" s="9"/>
      <c r="K127" s="9"/>
      <c r="L127" s="9"/>
      <c r="M127" s="8">
        <v>5537.0</v>
      </c>
      <c r="N127" s="8"/>
      <c r="O127" s="8"/>
      <c r="P127" s="8"/>
      <c r="Q127" s="8" t="s">
        <v>48</v>
      </c>
      <c r="R127" s="8" t="s">
        <v>837</v>
      </c>
      <c r="S127" s="8">
        <v>9.760839389E9</v>
      </c>
      <c r="T127" s="8">
        <v>2.7580568E7</v>
      </c>
      <c r="U127" s="8">
        <v>2.9312275E7</v>
      </c>
      <c r="V127" s="23">
        <v>45763.0</v>
      </c>
      <c r="W127" s="32">
        <f t="shared" si="1"/>
        <v>45943</v>
      </c>
      <c r="X127" s="8" t="s">
        <v>63</v>
      </c>
      <c r="Y127" s="7" t="str">
        <f t="shared" si="2"/>
        <v>Expired</v>
      </c>
      <c r="Z127" s="8">
        <f t="shared" si="3"/>
        <v>0</v>
      </c>
      <c r="AA127" s="24"/>
      <c r="AB127" s="8" t="s">
        <v>838</v>
      </c>
      <c r="AC127" s="8" t="s">
        <v>839</v>
      </c>
      <c r="AD127" s="8"/>
      <c r="AE127" s="8"/>
      <c r="AF127" s="8"/>
      <c r="AG127" s="8"/>
      <c r="AH127" s="10"/>
      <c r="AI127" s="8">
        <v>2.7580568E7</v>
      </c>
      <c r="AJ127" s="8">
        <v>2.9312275E7</v>
      </c>
      <c r="AK127" s="24">
        <v>0.4965277777777778</v>
      </c>
      <c r="AL127" s="22"/>
      <c r="AM127" s="22"/>
    </row>
    <row r="128" ht="22.5" customHeight="1">
      <c r="A128" s="7"/>
      <c r="B128" s="8" t="s">
        <v>840</v>
      </c>
      <c r="C128" s="8" t="s">
        <v>841</v>
      </c>
      <c r="D128" s="9">
        <v>9.85111575E9</v>
      </c>
      <c r="E128" s="8" t="s">
        <v>842</v>
      </c>
      <c r="F128" s="8" t="s">
        <v>42</v>
      </c>
      <c r="G128" s="8" t="s">
        <v>843</v>
      </c>
      <c r="H128" s="8" t="s">
        <v>424</v>
      </c>
      <c r="I128" s="9" t="s">
        <v>844</v>
      </c>
      <c r="J128" s="9"/>
      <c r="K128" s="9">
        <v>9.801309719E9</v>
      </c>
      <c r="L128" s="9" t="s">
        <v>845</v>
      </c>
      <c r="M128" s="8">
        <v>6511.0</v>
      </c>
      <c r="N128" s="8" t="s">
        <v>846</v>
      </c>
      <c r="O128" s="8"/>
      <c r="P128" s="8"/>
      <c r="Q128" s="8" t="s">
        <v>48</v>
      </c>
      <c r="R128" s="8" t="s">
        <v>847</v>
      </c>
      <c r="S128" s="8">
        <v>9.760839224E9</v>
      </c>
      <c r="T128" s="8">
        <v>1.3584119E7</v>
      </c>
      <c r="U128" s="8">
        <v>4.0843953E7</v>
      </c>
      <c r="V128" s="23">
        <v>45769.0</v>
      </c>
      <c r="W128" s="32">
        <f t="shared" si="1"/>
        <v>45949</v>
      </c>
      <c r="X128" s="8" t="s">
        <v>63</v>
      </c>
      <c r="Y128" s="7" t="str">
        <f t="shared" si="2"/>
        <v>Expired</v>
      </c>
      <c r="Z128" s="8">
        <f t="shared" si="3"/>
        <v>0</v>
      </c>
      <c r="AA128" s="24"/>
      <c r="AB128" s="8" t="s">
        <v>848</v>
      </c>
      <c r="AC128" s="8"/>
      <c r="AD128" s="8"/>
      <c r="AE128" s="8"/>
      <c r="AF128" s="8"/>
      <c r="AG128" s="8"/>
      <c r="AH128" s="10"/>
      <c r="AI128" s="8">
        <v>1.3584119E7</v>
      </c>
      <c r="AJ128" s="8">
        <v>4.0843953E7</v>
      </c>
      <c r="AK128" s="24">
        <v>0.6631944444444444</v>
      </c>
      <c r="AL128" s="22"/>
      <c r="AM128" s="22"/>
    </row>
    <row r="129" ht="22.5" customHeight="1">
      <c r="A129" s="26"/>
      <c r="B129" s="13" t="s">
        <v>849</v>
      </c>
      <c r="C129" s="13" t="s">
        <v>850</v>
      </c>
      <c r="D129" s="19">
        <v>9.852070004E9</v>
      </c>
      <c r="E129" s="13" t="s">
        <v>851</v>
      </c>
      <c r="F129" s="8" t="s">
        <v>42</v>
      </c>
      <c r="G129" s="13" t="s">
        <v>103</v>
      </c>
      <c r="H129" s="13" t="s">
        <v>715</v>
      </c>
      <c r="I129" s="19" t="s">
        <v>45</v>
      </c>
      <c r="J129" s="19"/>
      <c r="K129" s="19" t="s">
        <v>852</v>
      </c>
      <c r="L129" s="19" t="s">
        <v>853</v>
      </c>
      <c r="M129" s="13">
        <v>7177.0</v>
      </c>
      <c r="N129" s="13" t="s">
        <v>854</v>
      </c>
      <c r="O129" s="13" t="s">
        <v>855</v>
      </c>
      <c r="P129" s="13"/>
      <c r="Q129" s="13" t="s">
        <v>48</v>
      </c>
      <c r="R129" s="13" t="s">
        <v>856</v>
      </c>
      <c r="S129" s="13">
        <v>9.760830829E9</v>
      </c>
      <c r="T129" s="13">
        <v>2.4452947E7</v>
      </c>
      <c r="U129" s="13"/>
      <c r="V129" s="25"/>
      <c r="W129" s="27" t="str">
        <f t="shared" si="1"/>
        <v/>
      </c>
      <c r="X129" s="8" t="s">
        <v>63</v>
      </c>
      <c r="Y129" s="7" t="str">
        <f t="shared" si="2"/>
        <v>Expired</v>
      </c>
      <c r="Z129" s="8">
        <f t="shared" si="3"/>
        <v>0</v>
      </c>
      <c r="AA129" s="26"/>
      <c r="AB129" s="13" t="s">
        <v>857</v>
      </c>
      <c r="AC129" s="13" t="s">
        <v>858</v>
      </c>
      <c r="AD129" s="13"/>
      <c r="AE129" s="13"/>
      <c r="AF129" s="13"/>
      <c r="AG129" s="13"/>
      <c r="AI129" s="13"/>
      <c r="AJ129" s="13"/>
      <c r="AK129" s="37"/>
      <c r="AL129" s="46"/>
      <c r="AM129" s="46"/>
    </row>
    <row r="130" ht="22.5" customHeight="1">
      <c r="A130" s="7"/>
      <c r="B130" s="13" t="s">
        <v>849</v>
      </c>
      <c r="C130" s="13" t="s">
        <v>850</v>
      </c>
      <c r="D130" s="19">
        <v>9.852070004E9</v>
      </c>
      <c r="E130" s="13" t="s">
        <v>851</v>
      </c>
      <c r="F130" s="8" t="s">
        <v>42</v>
      </c>
      <c r="G130" s="13" t="s">
        <v>103</v>
      </c>
      <c r="H130" s="13" t="s">
        <v>715</v>
      </c>
      <c r="I130" s="9" t="s">
        <v>859</v>
      </c>
      <c r="J130" s="9"/>
      <c r="K130" s="19" t="s">
        <v>852</v>
      </c>
      <c r="L130" s="19" t="s">
        <v>853</v>
      </c>
      <c r="M130" s="8">
        <v>7176.0</v>
      </c>
      <c r="N130" s="8"/>
      <c r="O130" s="8"/>
      <c r="P130" s="8"/>
      <c r="Q130" s="8" t="s">
        <v>74</v>
      </c>
      <c r="R130" s="35"/>
      <c r="S130" s="8"/>
      <c r="T130" s="8"/>
      <c r="U130" s="8"/>
      <c r="V130" s="23"/>
      <c r="W130" s="27" t="str">
        <f t="shared" si="1"/>
        <v/>
      </c>
      <c r="X130" s="8" t="s">
        <v>63</v>
      </c>
      <c r="Y130" s="7" t="str">
        <f t="shared" si="2"/>
        <v>Expired</v>
      </c>
      <c r="Z130" s="8">
        <f t="shared" si="3"/>
        <v>0</v>
      </c>
      <c r="AA130" s="26"/>
      <c r="AB130" s="13" t="s">
        <v>860</v>
      </c>
      <c r="AC130" s="8"/>
      <c r="AD130" s="8"/>
      <c r="AE130" s="8"/>
      <c r="AF130" s="8"/>
      <c r="AG130" s="8"/>
      <c r="AH130" s="8"/>
      <c r="AI130" s="8"/>
      <c r="AJ130" s="8"/>
      <c r="AK130" s="24"/>
      <c r="AL130" s="22"/>
      <c r="AM130" s="22"/>
    </row>
    <row r="131" ht="22.5" customHeight="1">
      <c r="A131" s="7"/>
      <c r="B131" s="13" t="s">
        <v>849</v>
      </c>
      <c r="C131" s="13" t="s">
        <v>850</v>
      </c>
      <c r="D131" s="19">
        <v>9.852070004E9</v>
      </c>
      <c r="E131" s="13" t="s">
        <v>851</v>
      </c>
      <c r="F131" s="8" t="s">
        <v>42</v>
      </c>
      <c r="G131" s="13" t="s">
        <v>103</v>
      </c>
      <c r="H131" s="8"/>
      <c r="I131" s="9"/>
      <c r="J131" s="9"/>
      <c r="K131" s="19" t="s">
        <v>852</v>
      </c>
      <c r="L131" s="19" t="s">
        <v>853</v>
      </c>
      <c r="M131" s="8">
        <v>9448.0</v>
      </c>
      <c r="N131" s="8"/>
      <c r="O131" s="8"/>
      <c r="P131" s="8"/>
      <c r="Q131" s="8"/>
      <c r="R131" s="35"/>
      <c r="S131" s="8" t="s">
        <v>861</v>
      </c>
      <c r="T131" s="8">
        <v>3.0345137E7</v>
      </c>
      <c r="U131" s="8"/>
      <c r="V131" s="23">
        <v>46096.0</v>
      </c>
      <c r="W131" s="32">
        <f t="shared" si="1"/>
        <v>46276</v>
      </c>
      <c r="X131" s="8" t="s">
        <v>63</v>
      </c>
      <c r="Y131" s="7" t="str">
        <f t="shared" si="2"/>
        <v>Active</v>
      </c>
      <c r="Z131" s="8">
        <f t="shared" si="3"/>
        <v>161</v>
      </c>
      <c r="AA131" s="8" t="s">
        <v>862</v>
      </c>
      <c r="AB131" s="8" t="s">
        <v>863</v>
      </c>
      <c r="AC131" s="8" t="s">
        <v>864</v>
      </c>
      <c r="AD131" s="8"/>
      <c r="AE131" s="8"/>
      <c r="AF131" s="8"/>
      <c r="AG131" s="8"/>
      <c r="AH131" s="8"/>
      <c r="AI131" s="8"/>
      <c r="AJ131" s="8"/>
      <c r="AK131" s="24"/>
      <c r="AL131" s="22"/>
      <c r="AM131" s="22"/>
    </row>
    <row r="132" ht="22.5" customHeight="1">
      <c r="A132" s="7"/>
      <c r="B132" s="13" t="s">
        <v>849</v>
      </c>
      <c r="C132" s="13" t="s">
        <v>850</v>
      </c>
      <c r="D132" s="19">
        <v>9.852070004E9</v>
      </c>
      <c r="E132" s="13" t="s">
        <v>851</v>
      </c>
      <c r="F132" s="8" t="s">
        <v>42</v>
      </c>
      <c r="G132" s="13" t="s">
        <v>103</v>
      </c>
      <c r="H132" s="8"/>
      <c r="I132" s="9"/>
      <c r="J132" s="9"/>
      <c r="K132" s="19" t="s">
        <v>852</v>
      </c>
      <c r="L132" s="19" t="s">
        <v>853</v>
      </c>
      <c r="M132" s="8">
        <v>9449.0</v>
      </c>
      <c r="N132" s="8"/>
      <c r="O132" s="8"/>
      <c r="P132" s="8"/>
      <c r="Q132" s="8"/>
      <c r="R132" s="35"/>
      <c r="S132" s="8" t="s">
        <v>865</v>
      </c>
      <c r="T132" s="8">
        <v>3.2213106E7</v>
      </c>
      <c r="U132" s="8"/>
      <c r="V132" s="23">
        <v>46095.0</v>
      </c>
      <c r="W132" s="32">
        <f t="shared" si="1"/>
        <v>46275</v>
      </c>
      <c r="X132" s="8" t="s">
        <v>63</v>
      </c>
      <c r="Y132" s="7" t="str">
        <f t="shared" si="2"/>
        <v>Active</v>
      </c>
      <c r="Z132" s="8">
        <f t="shared" si="3"/>
        <v>160</v>
      </c>
      <c r="AA132" s="8" t="s">
        <v>866</v>
      </c>
      <c r="AB132" s="8" t="s">
        <v>867</v>
      </c>
      <c r="AC132" s="8" t="s">
        <v>868</v>
      </c>
      <c r="AD132" s="8"/>
      <c r="AE132" s="8"/>
      <c r="AF132" s="8"/>
      <c r="AG132" s="8"/>
      <c r="AH132" s="8"/>
      <c r="AI132" s="8"/>
      <c r="AJ132" s="8"/>
      <c r="AK132" s="24"/>
      <c r="AL132" s="22"/>
      <c r="AM132" s="22"/>
    </row>
    <row r="133" ht="22.5" customHeight="1">
      <c r="A133" s="7"/>
      <c r="B133" s="13" t="s">
        <v>849</v>
      </c>
      <c r="C133" s="13" t="s">
        <v>850</v>
      </c>
      <c r="D133" s="19">
        <v>9.852070004E9</v>
      </c>
      <c r="E133" s="13" t="s">
        <v>851</v>
      </c>
      <c r="F133" s="8" t="s">
        <v>42</v>
      </c>
      <c r="G133" s="13" t="s">
        <v>103</v>
      </c>
      <c r="H133" s="8"/>
      <c r="I133" s="9"/>
      <c r="J133" s="9"/>
      <c r="K133" s="19" t="s">
        <v>852</v>
      </c>
      <c r="L133" s="19" t="s">
        <v>853</v>
      </c>
      <c r="M133" s="8">
        <v>9450.0</v>
      </c>
      <c r="N133" s="8"/>
      <c r="O133" s="8"/>
      <c r="P133" s="8"/>
      <c r="Q133" s="8"/>
      <c r="R133" s="31"/>
      <c r="S133" s="8" t="s">
        <v>869</v>
      </c>
      <c r="T133" s="8">
        <v>1.0957123E7</v>
      </c>
      <c r="U133" s="8"/>
      <c r="V133" s="23">
        <v>46095.0</v>
      </c>
      <c r="W133" s="32">
        <f t="shared" si="1"/>
        <v>46275</v>
      </c>
      <c r="X133" s="8" t="s">
        <v>63</v>
      </c>
      <c r="Y133" s="7" t="str">
        <f t="shared" si="2"/>
        <v>Active</v>
      </c>
      <c r="Z133" s="8">
        <f t="shared" si="3"/>
        <v>160</v>
      </c>
      <c r="AA133" s="8" t="s">
        <v>870</v>
      </c>
      <c r="AB133" s="8" t="s">
        <v>871</v>
      </c>
      <c r="AC133" s="8" t="s">
        <v>872</v>
      </c>
      <c r="AD133" s="8"/>
      <c r="AE133" s="8"/>
      <c r="AF133" s="8"/>
      <c r="AG133" s="8"/>
      <c r="AH133" s="8"/>
      <c r="AI133" s="8"/>
      <c r="AJ133" s="8"/>
      <c r="AK133" s="24"/>
      <c r="AL133" s="22"/>
      <c r="AM133" s="22"/>
    </row>
    <row r="134" ht="22.5" customHeight="1">
      <c r="A134" s="7"/>
      <c r="B134" s="13" t="s">
        <v>849</v>
      </c>
      <c r="C134" s="13" t="s">
        <v>850</v>
      </c>
      <c r="D134" s="19">
        <v>9.852070004E9</v>
      </c>
      <c r="E134" s="13" t="s">
        <v>851</v>
      </c>
      <c r="F134" s="8" t="s">
        <v>42</v>
      </c>
      <c r="G134" s="13" t="s">
        <v>103</v>
      </c>
      <c r="H134" s="8"/>
      <c r="I134" s="9"/>
      <c r="J134" s="9"/>
      <c r="K134" s="19" t="s">
        <v>852</v>
      </c>
      <c r="L134" s="19" t="s">
        <v>853</v>
      </c>
      <c r="M134" s="8">
        <v>9451.0</v>
      </c>
      <c r="N134" s="8"/>
      <c r="O134" s="8"/>
      <c r="P134" s="8"/>
      <c r="Q134" s="8"/>
      <c r="R134" s="8" t="s">
        <v>873</v>
      </c>
      <c r="S134" s="8" t="s">
        <v>874</v>
      </c>
      <c r="T134" s="8">
        <v>1.8077315E7</v>
      </c>
      <c r="U134" s="8">
        <v>2.9721249E7</v>
      </c>
      <c r="V134" s="23">
        <v>46110.0</v>
      </c>
      <c r="W134" s="32">
        <f t="shared" si="1"/>
        <v>46290</v>
      </c>
      <c r="X134" s="8" t="s">
        <v>63</v>
      </c>
      <c r="Y134" s="7" t="str">
        <f t="shared" si="2"/>
        <v>Active</v>
      </c>
      <c r="Z134" s="8">
        <f t="shared" si="3"/>
        <v>175</v>
      </c>
      <c r="AA134" s="8" t="s">
        <v>875</v>
      </c>
      <c r="AB134" s="8" t="s">
        <v>876</v>
      </c>
      <c r="AC134" s="8" t="s">
        <v>877</v>
      </c>
      <c r="AD134" s="8"/>
      <c r="AE134" s="8"/>
      <c r="AF134" s="8"/>
      <c r="AG134" s="8"/>
      <c r="AH134" s="8"/>
      <c r="AI134" s="8"/>
      <c r="AJ134" s="8"/>
      <c r="AK134" s="24"/>
      <c r="AL134" s="22"/>
      <c r="AM134" s="22"/>
    </row>
    <row r="135" ht="22.5" customHeight="1">
      <c r="A135" s="7"/>
      <c r="B135" s="13" t="s">
        <v>849</v>
      </c>
      <c r="C135" s="13" t="s">
        <v>850</v>
      </c>
      <c r="D135" s="19">
        <v>9.852070004E9</v>
      </c>
      <c r="E135" s="13" t="s">
        <v>851</v>
      </c>
      <c r="F135" s="8" t="s">
        <v>42</v>
      </c>
      <c r="G135" s="13" t="s">
        <v>103</v>
      </c>
      <c r="H135" s="8"/>
      <c r="I135" s="9"/>
      <c r="J135" s="9"/>
      <c r="K135" s="19" t="s">
        <v>852</v>
      </c>
      <c r="L135" s="19" t="s">
        <v>853</v>
      </c>
      <c r="M135" s="8">
        <v>9452.0</v>
      </c>
      <c r="N135" s="8"/>
      <c r="O135" s="8"/>
      <c r="P135" s="8"/>
      <c r="Q135" s="8"/>
      <c r="R135" s="35"/>
      <c r="S135" s="8" t="s">
        <v>878</v>
      </c>
      <c r="T135" s="8">
        <v>3.25272E7</v>
      </c>
      <c r="U135" s="8"/>
      <c r="V135" s="23">
        <v>46095.0</v>
      </c>
      <c r="W135" s="32">
        <f t="shared" si="1"/>
        <v>46275</v>
      </c>
      <c r="X135" s="8" t="s">
        <v>63</v>
      </c>
      <c r="Y135" s="7" t="str">
        <f t="shared" si="2"/>
        <v>Active</v>
      </c>
      <c r="Z135" s="8">
        <f t="shared" si="3"/>
        <v>160</v>
      </c>
      <c r="AA135" s="8" t="s">
        <v>866</v>
      </c>
      <c r="AB135" s="8" t="s">
        <v>879</v>
      </c>
      <c r="AC135" s="8" t="s">
        <v>880</v>
      </c>
      <c r="AD135" s="8"/>
      <c r="AE135" s="8"/>
      <c r="AF135" s="8"/>
      <c r="AG135" s="8"/>
      <c r="AH135" s="8"/>
      <c r="AI135" s="8"/>
      <c r="AJ135" s="8"/>
      <c r="AK135" s="24"/>
      <c r="AL135" s="22"/>
      <c r="AM135" s="22"/>
    </row>
    <row r="136" ht="22.5" customHeight="1">
      <c r="A136" s="7"/>
      <c r="B136" s="13" t="s">
        <v>849</v>
      </c>
      <c r="C136" s="13" t="s">
        <v>850</v>
      </c>
      <c r="D136" s="19">
        <v>9.852070004E9</v>
      </c>
      <c r="E136" s="13" t="s">
        <v>851</v>
      </c>
      <c r="F136" s="8" t="s">
        <v>42</v>
      </c>
      <c r="G136" s="13" t="s">
        <v>103</v>
      </c>
      <c r="H136" s="8"/>
      <c r="I136" s="9"/>
      <c r="J136" s="9"/>
      <c r="K136" s="19" t="s">
        <v>852</v>
      </c>
      <c r="L136" s="19" t="s">
        <v>853</v>
      </c>
      <c r="M136" s="8">
        <v>9453.0</v>
      </c>
      <c r="N136" s="8"/>
      <c r="O136" s="8"/>
      <c r="P136" s="8"/>
      <c r="Q136" s="8"/>
      <c r="R136" s="35"/>
      <c r="S136" s="8" t="s">
        <v>881</v>
      </c>
      <c r="T136" s="8">
        <v>1.1393156E7</v>
      </c>
      <c r="U136" s="8"/>
      <c r="V136" s="23">
        <v>46105.0</v>
      </c>
      <c r="W136" s="32">
        <f t="shared" si="1"/>
        <v>46285</v>
      </c>
      <c r="X136" s="8" t="s">
        <v>63</v>
      </c>
      <c r="Y136" s="7" t="str">
        <f t="shared" si="2"/>
        <v>Active</v>
      </c>
      <c r="Z136" s="8">
        <f t="shared" si="3"/>
        <v>170</v>
      </c>
      <c r="AA136" s="8" t="s">
        <v>882</v>
      </c>
      <c r="AB136" s="8" t="s">
        <v>883</v>
      </c>
      <c r="AC136" s="8" t="s">
        <v>884</v>
      </c>
      <c r="AD136" s="8"/>
      <c r="AE136" s="8"/>
      <c r="AF136" s="8"/>
      <c r="AG136" s="8"/>
      <c r="AH136" s="8"/>
      <c r="AI136" s="8"/>
      <c r="AJ136" s="8"/>
      <c r="AK136" s="24"/>
      <c r="AL136" s="22"/>
      <c r="AM136" s="22"/>
    </row>
    <row r="137" ht="22.5" customHeight="1">
      <c r="A137" s="7"/>
      <c r="B137" s="8" t="s">
        <v>885</v>
      </c>
      <c r="C137" s="8" t="s">
        <v>358</v>
      </c>
      <c r="D137" s="9">
        <v>9.8587902E9</v>
      </c>
      <c r="E137" s="8" t="s">
        <v>886</v>
      </c>
      <c r="F137" s="8" t="s">
        <v>42</v>
      </c>
      <c r="G137" s="8" t="s">
        <v>103</v>
      </c>
      <c r="H137" s="8" t="s">
        <v>360</v>
      </c>
      <c r="I137" s="9" t="s">
        <v>45</v>
      </c>
      <c r="J137" s="9"/>
      <c r="K137" s="9">
        <v>9.8587902E9</v>
      </c>
      <c r="L137" s="9" t="s">
        <v>488</v>
      </c>
      <c r="M137" s="8">
        <v>1330.0</v>
      </c>
      <c r="N137" s="8"/>
      <c r="O137" s="8"/>
      <c r="P137" s="8"/>
      <c r="Q137" s="8" t="s">
        <v>48</v>
      </c>
      <c r="R137" s="35" t="s">
        <v>887</v>
      </c>
      <c r="S137" s="8">
        <v>9.760837826E9</v>
      </c>
      <c r="T137" s="8">
        <v>2.4317933E7</v>
      </c>
      <c r="U137" s="8">
        <v>1.613021E7</v>
      </c>
      <c r="V137" s="23">
        <v>45884.0</v>
      </c>
      <c r="W137" s="32">
        <f t="shared" si="1"/>
        <v>46249</v>
      </c>
      <c r="X137" s="8" t="s">
        <v>76</v>
      </c>
      <c r="Y137" s="7" t="str">
        <f t="shared" si="2"/>
        <v>Active</v>
      </c>
      <c r="Z137" s="8">
        <f t="shared" si="3"/>
        <v>134</v>
      </c>
      <c r="AA137" s="7">
        <v>46247.0</v>
      </c>
      <c r="AB137" s="8" t="s">
        <v>888</v>
      </c>
      <c r="AC137" s="8" t="s">
        <v>889</v>
      </c>
      <c r="AD137" s="8"/>
      <c r="AE137" s="8"/>
      <c r="AF137" s="8"/>
      <c r="AG137" s="8"/>
      <c r="AH137" s="8">
        <v>9.809450654E9</v>
      </c>
      <c r="AI137" s="8">
        <v>9.6122832E7</v>
      </c>
      <c r="AJ137" s="8"/>
      <c r="AK137" s="24"/>
      <c r="AL137" s="22"/>
      <c r="AM137" s="22"/>
    </row>
    <row r="138" ht="22.5" hidden="1" customHeight="1">
      <c r="A138" s="26"/>
      <c r="B138" s="13" t="s">
        <v>890</v>
      </c>
      <c r="C138" s="13" t="s">
        <v>40</v>
      </c>
      <c r="D138" s="19">
        <v>9.851048105E9</v>
      </c>
      <c r="E138" s="13" t="s">
        <v>891</v>
      </c>
      <c r="F138" s="8" t="s">
        <v>42</v>
      </c>
      <c r="G138" s="13" t="s">
        <v>103</v>
      </c>
      <c r="H138" s="13" t="s">
        <v>44</v>
      </c>
      <c r="I138" s="19" t="s">
        <v>45</v>
      </c>
      <c r="J138" s="19"/>
      <c r="K138" s="19">
        <v>9.851048105E9</v>
      </c>
      <c r="L138" s="19" t="s">
        <v>788</v>
      </c>
      <c r="M138" s="13">
        <v>2974.0</v>
      </c>
      <c r="N138" s="13"/>
      <c r="O138" s="13"/>
      <c r="P138" s="13"/>
      <c r="Q138" s="13" t="s">
        <v>48</v>
      </c>
      <c r="R138" s="35" t="s">
        <v>892</v>
      </c>
      <c r="S138" s="13">
        <v>9.760835081E9</v>
      </c>
      <c r="T138" s="13">
        <v>3.2505983E7</v>
      </c>
      <c r="U138" s="13">
        <v>1.1870213E7</v>
      </c>
      <c r="V138" s="25">
        <v>45761.0</v>
      </c>
      <c r="W138" s="32">
        <f t="shared" si="1"/>
        <v>45941</v>
      </c>
      <c r="X138" s="13" t="s">
        <v>50</v>
      </c>
      <c r="Y138" s="7" t="str">
        <f t="shared" si="2"/>
        <v>Expired</v>
      </c>
      <c r="Z138" s="8">
        <f t="shared" si="3"/>
        <v>0</v>
      </c>
      <c r="AA138" s="26">
        <v>45941.0</v>
      </c>
      <c r="AB138" s="13" t="s">
        <v>893</v>
      </c>
      <c r="AC138" s="13" t="s">
        <v>894</v>
      </c>
      <c r="AD138" s="13"/>
      <c r="AE138" s="13"/>
      <c r="AF138" s="13"/>
      <c r="AG138" s="13"/>
      <c r="AH138" s="13">
        <v>9.810275862E9</v>
      </c>
      <c r="AI138" s="13">
        <v>3.2505983E7</v>
      </c>
      <c r="AJ138" s="13">
        <v>1.1870213E7</v>
      </c>
      <c r="AK138" s="37">
        <v>0.7465277777777778</v>
      </c>
      <c r="AL138" s="46"/>
      <c r="AM138" s="46"/>
    </row>
    <row r="139" ht="22.5" hidden="1" customHeight="1">
      <c r="A139" s="7"/>
      <c r="B139" s="8" t="s">
        <v>890</v>
      </c>
      <c r="C139" s="8" t="s">
        <v>40</v>
      </c>
      <c r="D139" s="9">
        <v>9.851048105E9</v>
      </c>
      <c r="E139" s="8" t="s">
        <v>891</v>
      </c>
      <c r="F139" s="8" t="s">
        <v>42</v>
      </c>
      <c r="G139" s="8" t="s">
        <v>103</v>
      </c>
      <c r="H139" s="8" t="s">
        <v>44</v>
      </c>
      <c r="I139" s="9" t="s">
        <v>45</v>
      </c>
      <c r="J139" s="9"/>
      <c r="K139" s="9">
        <v>9.851048105E9</v>
      </c>
      <c r="L139" s="9" t="s">
        <v>788</v>
      </c>
      <c r="M139" s="8">
        <v>2975.0</v>
      </c>
      <c r="N139" s="8" t="s">
        <v>895</v>
      </c>
      <c r="O139" s="8" t="s">
        <v>896</v>
      </c>
      <c r="P139" s="8"/>
      <c r="Q139" s="8" t="s">
        <v>48</v>
      </c>
      <c r="R139" s="31" t="s">
        <v>897</v>
      </c>
      <c r="S139" s="8">
        <v>9.7608222932E10</v>
      </c>
      <c r="T139" s="8">
        <v>9.7711401E7</v>
      </c>
      <c r="U139" s="8"/>
      <c r="V139" s="23">
        <v>45760.0</v>
      </c>
      <c r="W139" s="32">
        <f t="shared" si="1"/>
        <v>45940</v>
      </c>
      <c r="X139" s="13" t="s">
        <v>50</v>
      </c>
      <c r="Y139" s="7" t="str">
        <f t="shared" si="2"/>
        <v>Expired</v>
      </c>
      <c r="Z139" s="8">
        <f t="shared" si="3"/>
        <v>0</v>
      </c>
      <c r="AA139" s="7">
        <v>45940.0</v>
      </c>
      <c r="AB139" s="8" t="s">
        <v>898</v>
      </c>
      <c r="AC139" s="8" t="s">
        <v>899</v>
      </c>
      <c r="AD139" s="8"/>
      <c r="AE139" s="8"/>
      <c r="AF139" s="8"/>
      <c r="AG139" s="8"/>
      <c r="AH139" s="8"/>
      <c r="AI139" s="8">
        <v>9.7711401E7</v>
      </c>
      <c r="AJ139" s="8"/>
      <c r="AK139" s="24">
        <v>0.6430555555555556</v>
      </c>
      <c r="AL139" s="22"/>
      <c r="AM139" s="22"/>
    </row>
    <row r="140" ht="22.5" hidden="1" customHeight="1">
      <c r="A140" s="7"/>
      <c r="B140" s="8" t="s">
        <v>834</v>
      </c>
      <c r="C140" s="8" t="s">
        <v>658</v>
      </c>
      <c r="D140" s="9">
        <v>9.809122278E9</v>
      </c>
      <c r="E140" s="8" t="s">
        <v>900</v>
      </c>
      <c r="F140" s="8" t="s">
        <v>42</v>
      </c>
      <c r="G140" s="8" t="s">
        <v>103</v>
      </c>
      <c r="H140" s="8" t="s">
        <v>836</v>
      </c>
      <c r="I140" s="9" t="s">
        <v>45</v>
      </c>
      <c r="J140" s="9"/>
      <c r="K140" s="9"/>
      <c r="L140" s="9"/>
      <c r="M140" s="8">
        <v>5538.0</v>
      </c>
      <c r="N140" s="8"/>
      <c r="O140" s="8"/>
      <c r="P140" s="8"/>
      <c r="Q140" s="8" t="s">
        <v>48</v>
      </c>
      <c r="R140" s="51" t="s">
        <v>901</v>
      </c>
      <c r="S140" s="8">
        <v>9.760835231E9</v>
      </c>
      <c r="T140" s="8">
        <v>2.3321695E7</v>
      </c>
      <c r="U140" s="8"/>
      <c r="V140" s="23">
        <v>45762.0</v>
      </c>
      <c r="W140" s="32">
        <f t="shared" si="1"/>
        <v>45942</v>
      </c>
      <c r="X140" s="8" t="s">
        <v>63</v>
      </c>
      <c r="Y140" s="7" t="str">
        <f t="shared" si="2"/>
        <v>Expired</v>
      </c>
      <c r="Z140" s="8">
        <f t="shared" si="3"/>
        <v>0</v>
      </c>
      <c r="AA140" s="24"/>
      <c r="AB140" s="8" t="s">
        <v>902</v>
      </c>
      <c r="AC140" s="8" t="s">
        <v>903</v>
      </c>
      <c r="AD140" s="8"/>
      <c r="AE140" s="8"/>
      <c r="AF140" s="8"/>
      <c r="AG140" s="8"/>
      <c r="AH140" s="8"/>
      <c r="AI140" s="8">
        <v>2.3321695E7</v>
      </c>
      <c r="AJ140" s="8"/>
      <c r="AK140" s="24"/>
      <c r="AL140" s="7">
        <v>46491.0</v>
      </c>
      <c r="AM140" s="22"/>
    </row>
    <row r="141" ht="22.5" hidden="1" customHeight="1">
      <c r="A141" s="7"/>
      <c r="B141" s="8" t="s">
        <v>904</v>
      </c>
      <c r="C141" s="8" t="s">
        <v>905</v>
      </c>
      <c r="D141" s="9">
        <v>9.854035535E9</v>
      </c>
      <c r="E141" s="8" t="s">
        <v>906</v>
      </c>
      <c r="F141" s="8" t="s">
        <v>42</v>
      </c>
      <c r="G141" s="8" t="s">
        <v>423</v>
      </c>
      <c r="H141" s="8" t="s">
        <v>907</v>
      </c>
      <c r="I141" s="9" t="s">
        <v>221</v>
      </c>
      <c r="J141" s="9"/>
      <c r="K141" s="9">
        <v>9.854035535E9</v>
      </c>
      <c r="L141" s="9" t="s">
        <v>908</v>
      </c>
      <c r="M141" s="8">
        <v>2526.0</v>
      </c>
      <c r="N141" s="8" t="s">
        <v>909</v>
      </c>
      <c r="O141" s="8" t="s">
        <v>910</v>
      </c>
      <c r="P141" s="8"/>
      <c r="Q141" s="8" t="s">
        <v>48</v>
      </c>
      <c r="R141" s="51" t="s">
        <v>911</v>
      </c>
      <c r="S141" s="8">
        <v>9.760837745E9</v>
      </c>
      <c r="T141" s="8">
        <v>2.7364834E7</v>
      </c>
      <c r="U141" s="8">
        <v>1.5155234E7</v>
      </c>
      <c r="V141" s="23">
        <v>45764.0</v>
      </c>
      <c r="W141" s="32">
        <f t="shared" si="1"/>
        <v>45944</v>
      </c>
      <c r="X141" s="8" t="s">
        <v>63</v>
      </c>
      <c r="Y141" s="7" t="str">
        <f t="shared" si="2"/>
        <v>Expired</v>
      </c>
      <c r="Z141" s="8">
        <f t="shared" si="3"/>
        <v>0</v>
      </c>
      <c r="AA141" s="7">
        <v>45976.0</v>
      </c>
      <c r="AB141" s="8" t="s">
        <v>912</v>
      </c>
      <c r="AC141" s="8">
        <v>9.854035535E9</v>
      </c>
      <c r="AD141" s="8">
        <v>9.854035535E9</v>
      </c>
      <c r="AE141" s="8" t="s">
        <v>908</v>
      </c>
      <c r="AF141" s="8">
        <v>3.53701096142738E14</v>
      </c>
      <c r="AG141" s="8"/>
      <c r="AH141" s="8">
        <v>9.803618467E9</v>
      </c>
      <c r="AI141" s="8">
        <v>2.7364834E7</v>
      </c>
      <c r="AJ141" s="8">
        <v>1.5155234E7</v>
      </c>
      <c r="AK141" s="24">
        <v>0.7083333333333334</v>
      </c>
      <c r="AL141" s="7">
        <v>45970.0</v>
      </c>
      <c r="AM141" s="22"/>
    </row>
    <row r="142" ht="22.5" customHeight="1">
      <c r="A142" s="26"/>
      <c r="B142" s="13" t="s">
        <v>913</v>
      </c>
      <c r="C142" s="13" t="s">
        <v>303</v>
      </c>
      <c r="D142" s="19">
        <v>9.812128474E9</v>
      </c>
      <c r="E142" s="13" t="s">
        <v>914</v>
      </c>
      <c r="F142" s="8" t="s">
        <v>42</v>
      </c>
      <c r="G142" s="13" t="s">
        <v>103</v>
      </c>
      <c r="H142" s="13" t="s">
        <v>220</v>
      </c>
      <c r="I142" s="19" t="s">
        <v>915</v>
      </c>
      <c r="J142" s="19"/>
      <c r="K142" s="19"/>
      <c r="L142" s="19"/>
      <c r="M142" s="13">
        <v>456.0</v>
      </c>
      <c r="N142" s="13"/>
      <c r="O142" s="13"/>
      <c r="P142" s="13"/>
      <c r="Q142" s="13"/>
      <c r="R142" s="35" t="s">
        <v>916</v>
      </c>
      <c r="S142" s="13" t="s">
        <v>917</v>
      </c>
      <c r="T142" s="13">
        <v>2.6242319E7</v>
      </c>
      <c r="U142" s="13">
        <v>2.4678871E7</v>
      </c>
      <c r="V142" s="25">
        <v>46016.0</v>
      </c>
      <c r="W142" s="32">
        <f t="shared" si="1"/>
        <v>46196</v>
      </c>
      <c r="X142" s="13" t="s">
        <v>63</v>
      </c>
      <c r="Y142" s="7" t="str">
        <f t="shared" si="2"/>
        <v>Active</v>
      </c>
      <c r="Z142" s="8">
        <f t="shared" si="3"/>
        <v>81</v>
      </c>
      <c r="AA142" s="37"/>
      <c r="AB142" s="13" t="s">
        <v>918</v>
      </c>
      <c r="AC142" s="13">
        <v>9.852834695E9</v>
      </c>
      <c r="AD142" s="13"/>
      <c r="AE142" s="13"/>
      <c r="AF142" s="13"/>
      <c r="AG142" s="13"/>
      <c r="AI142" s="13">
        <v>2.6242319E7</v>
      </c>
      <c r="AJ142" s="13">
        <v>2.4678871E7</v>
      </c>
      <c r="AK142" s="37">
        <v>0.6513888888888889</v>
      </c>
      <c r="AL142" s="26"/>
      <c r="AM142" s="46"/>
    </row>
    <row r="143" ht="22.5" customHeight="1">
      <c r="A143" s="7"/>
      <c r="B143" s="8" t="s">
        <v>919</v>
      </c>
      <c r="C143" s="8" t="s">
        <v>40</v>
      </c>
      <c r="D143" s="9">
        <v>9.851239643E9</v>
      </c>
      <c r="E143" s="8" t="s">
        <v>721</v>
      </c>
      <c r="F143" s="8" t="s">
        <v>42</v>
      </c>
      <c r="G143" s="8" t="s">
        <v>103</v>
      </c>
      <c r="H143" s="8" t="s">
        <v>920</v>
      </c>
      <c r="I143" s="9" t="s">
        <v>45</v>
      </c>
      <c r="J143" s="9"/>
      <c r="K143" s="9">
        <v>9.851239643E9</v>
      </c>
      <c r="L143" s="9" t="s">
        <v>723</v>
      </c>
      <c r="M143" s="8">
        <v>2729.0</v>
      </c>
      <c r="N143" s="8" t="s">
        <v>921</v>
      </c>
      <c r="O143" s="8" t="s">
        <v>922</v>
      </c>
      <c r="P143" s="8"/>
      <c r="Q143" s="8" t="s">
        <v>48</v>
      </c>
      <c r="R143" s="51" t="s">
        <v>923</v>
      </c>
      <c r="S143" s="8">
        <v>9.760839376E9</v>
      </c>
      <c r="T143" s="8">
        <v>1.689284E7</v>
      </c>
      <c r="U143" s="8">
        <v>1.4845302E7</v>
      </c>
      <c r="V143" s="23">
        <v>45854.0</v>
      </c>
      <c r="W143" s="32">
        <f t="shared" si="1"/>
        <v>45884</v>
      </c>
      <c r="X143" s="8" t="s">
        <v>137</v>
      </c>
      <c r="Y143" s="7" t="str">
        <f t="shared" si="2"/>
        <v>Expired</v>
      </c>
      <c r="Z143" s="8">
        <f t="shared" si="3"/>
        <v>0</v>
      </c>
      <c r="AA143" s="8" t="s">
        <v>924</v>
      </c>
      <c r="AB143" s="8" t="s">
        <v>925</v>
      </c>
      <c r="AC143" s="8">
        <v>9.844669122E9</v>
      </c>
      <c r="AD143" s="8"/>
      <c r="AE143" s="8"/>
      <c r="AF143" s="8"/>
      <c r="AG143" s="8"/>
      <c r="AH143" s="8">
        <v>9.844669122E9</v>
      </c>
      <c r="AI143" s="8">
        <v>1.689284E7</v>
      </c>
      <c r="AJ143" s="8">
        <v>1.4845302E7</v>
      </c>
      <c r="AK143" s="24"/>
      <c r="AL143" s="7"/>
      <c r="AM143" s="22"/>
    </row>
    <row r="144" ht="22.5" customHeight="1">
      <c r="A144" s="7"/>
      <c r="B144" s="8"/>
      <c r="C144" s="8" t="s">
        <v>68</v>
      </c>
      <c r="D144" s="9"/>
      <c r="E144" s="8" t="s">
        <v>926</v>
      </c>
      <c r="F144" s="8" t="s">
        <v>42</v>
      </c>
      <c r="G144" s="8" t="s">
        <v>103</v>
      </c>
      <c r="H144" s="8" t="s">
        <v>70</v>
      </c>
      <c r="I144" s="9" t="s">
        <v>45</v>
      </c>
      <c r="J144" s="9"/>
      <c r="K144" s="9"/>
      <c r="L144" s="9"/>
      <c r="M144" s="8">
        <v>26.0</v>
      </c>
      <c r="N144" s="8"/>
      <c r="O144" s="8"/>
      <c r="P144" s="8"/>
      <c r="Q144" s="8" t="s">
        <v>48</v>
      </c>
      <c r="R144" s="51" t="s">
        <v>927</v>
      </c>
      <c r="S144" s="8">
        <v>9.760839126E9</v>
      </c>
      <c r="T144" s="8">
        <v>3.0663249E7</v>
      </c>
      <c r="U144" s="8">
        <v>1.3277116E7</v>
      </c>
      <c r="V144" s="23"/>
      <c r="W144" s="27" t="str">
        <f t="shared" si="1"/>
        <v/>
      </c>
      <c r="X144" s="8" t="s">
        <v>63</v>
      </c>
      <c r="Y144" s="7" t="str">
        <f t="shared" si="2"/>
        <v>Expired</v>
      </c>
      <c r="Z144" s="8">
        <f t="shared" si="3"/>
        <v>0</v>
      </c>
      <c r="AA144" s="24"/>
      <c r="AB144" s="8" t="s">
        <v>928</v>
      </c>
      <c r="AC144" s="8">
        <v>9.858080452E9</v>
      </c>
      <c r="AD144" s="8"/>
      <c r="AE144" s="8"/>
      <c r="AF144" s="8"/>
      <c r="AG144" s="8"/>
      <c r="AH144" s="8"/>
      <c r="AI144" s="8">
        <v>3.0663249E7</v>
      </c>
      <c r="AJ144" s="8">
        <v>1.3277116E7</v>
      </c>
      <c r="AK144" s="24"/>
      <c r="AL144" s="7"/>
      <c r="AM144" s="22"/>
    </row>
    <row r="145" ht="22.5" customHeight="1">
      <c r="A145" s="7"/>
      <c r="B145" s="8" t="s">
        <v>929</v>
      </c>
      <c r="C145" s="8" t="s">
        <v>40</v>
      </c>
      <c r="D145" s="9">
        <v>9.851097412E9</v>
      </c>
      <c r="E145" s="8" t="s">
        <v>930</v>
      </c>
      <c r="F145" s="8" t="s">
        <v>42</v>
      </c>
      <c r="G145" s="8" t="s">
        <v>103</v>
      </c>
      <c r="H145" s="8" t="s">
        <v>931</v>
      </c>
      <c r="I145" s="9" t="s">
        <v>590</v>
      </c>
      <c r="J145" s="9"/>
      <c r="K145" s="9">
        <v>9.851097412E9</v>
      </c>
      <c r="L145" s="9" t="s">
        <v>583</v>
      </c>
      <c r="M145" s="8">
        <v>2514.0</v>
      </c>
      <c r="N145" s="8"/>
      <c r="O145" s="8"/>
      <c r="P145" s="8"/>
      <c r="Q145" s="8" t="s">
        <v>48</v>
      </c>
      <c r="R145" s="13" t="s">
        <v>932</v>
      </c>
      <c r="S145" s="16">
        <v>9.760843451E9</v>
      </c>
      <c r="T145" s="15">
        <v>2.3595769E7</v>
      </c>
      <c r="U145" s="15">
        <v>7.0702553E7</v>
      </c>
      <c r="V145" s="23">
        <f>AA145-180</f>
        <v>45975</v>
      </c>
      <c r="W145" s="32">
        <f t="shared" si="1"/>
        <v>46005</v>
      </c>
      <c r="X145" s="8" t="s">
        <v>137</v>
      </c>
      <c r="Y145" s="7" t="str">
        <f t="shared" si="2"/>
        <v>Expired</v>
      </c>
      <c r="Z145" s="8">
        <f t="shared" si="3"/>
        <v>0</v>
      </c>
      <c r="AA145" s="7">
        <v>46155.0</v>
      </c>
      <c r="AB145" s="8" t="s">
        <v>933</v>
      </c>
      <c r="AC145" s="8" t="s">
        <v>934</v>
      </c>
      <c r="AD145" s="8"/>
      <c r="AE145" s="8"/>
      <c r="AF145" s="8"/>
      <c r="AG145" s="8"/>
      <c r="AH145" s="8"/>
      <c r="AI145" s="8">
        <v>1.9795202E7</v>
      </c>
      <c r="AJ145" s="8">
        <v>1.813727E7</v>
      </c>
      <c r="AK145" s="24"/>
      <c r="AL145" s="7"/>
      <c r="AM145" s="22"/>
    </row>
    <row r="146" ht="22.5" customHeight="1">
      <c r="A146" s="7"/>
      <c r="B146" s="8" t="s">
        <v>834</v>
      </c>
      <c r="C146" s="8" t="s">
        <v>658</v>
      </c>
      <c r="D146" s="9">
        <v>9.809122278E9</v>
      </c>
      <c r="E146" s="8" t="s">
        <v>935</v>
      </c>
      <c r="F146" s="8" t="s">
        <v>42</v>
      </c>
      <c r="G146" s="8" t="s">
        <v>103</v>
      </c>
      <c r="H146" s="8" t="s">
        <v>836</v>
      </c>
      <c r="I146" s="9" t="s">
        <v>45</v>
      </c>
      <c r="J146" s="9"/>
      <c r="K146" s="9"/>
      <c r="L146" s="9"/>
      <c r="M146" s="8">
        <v>7109.0</v>
      </c>
      <c r="N146" s="8"/>
      <c r="O146" s="8"/>
      <c r="P146" s="8"/>
      <c r="Q146" s="8" t="s">
        <v>48</v>
      </c>
      <c r="R146" s="51" t="s">
        <v>936</v>
      </c>
      <c r="S146" s="8">
        <v>9.760839393E9</v>
      </c>
      <c r="T146" s="8">
        <v>2.1462501E7</v>
      </c>
      <c r="U146" s="8">
        <v>2.1191217E7</v>
      </c>
      <c r="V146" s="23">
        <v>45767.0</v>
      </c>
      <c r="W146" s="32">
        <f t="shared" si="1"/>
        <v>45947</v>
      </c>
      <c r="X146" s="8" t="s">
        <v>63</v>
      </c>
      <c r="Y146" s="7" t="str">
        <f t="shared" si="2"/>
        <v>Expired</v>
      </c>
      <c r="Z146" s="8">
        <f t="shared" si="3"/>
        <v>0</v>
      </c>
      <c r="AA146" s="24"/>
      <c r="AB146" s="8" t="s">
        <v>937</v>
      </c>
      <c r="AC146" s="8" t="s">
        <v>938</v>
      </c>
      <c r="AD146" s="8"/>
      <c r="AE146" s="8"/>
      <c r="AF146" s="8"/>
      <c r="AG146" s="8"/>
      <c r="AH146" s="8"/>
      <c r="AI146" s="8">
        <v>2.1462501E7</v>
      </c>
      <c r="AJ146" s="8">
        <v>2.1191217E7</v>
      </c>
      <c r="AK146" s="24"/>
      <c r="AL146" s="7"/>
      <c r="AM146" s="22"/>
    </row>
    <row r="147" ht="22.5" customHeight="1">
      <c r="A147" s="7"/>
      <c r="B147" s="8" t="s">
        <v>919</v>
      </c>
      <c r="C147" s="8" t="s">
        <v>40</v>
      </c>
      <c r="D147" s="9">
        <v>9.851239643E9</v>
      </c>
      <c r="E147" s="8" t="s">
        <v>721</v>
      </c>
      <c r="F147" s="8" t="s">
        <v>42</v>
      </c>
      <c r="G147" s="8" t="s">
        <v>103</v>
      </c>
      <c r="H147" s="8" t="s">
        <v>920</v>
      </c>
      <c r="I147" s="9" t="s">
        <v>45</v>
      </c>
      <c r="J147" s="9"/>
      <c r="K147" s="9">
        <v>9.851239643E9</v>
      </c>
      <c r="L147" s="9" t="s">
        <v>723</v>
      </c>
      <c r="M147" s="8">
        <v>2730.0</v>
      </c>
      <c r="N147" s="8" t="s">
        <v>939</v>
      </c>
      <c r="O147" s="8" t="s">
        <v>940</v>
      </c>
      <c r="P147" s="8"/>
      <c r="Q147" s="8" t="s">
        <v>48</v>
      </c>
      <c r="R147" s="51" t="s">
        <v>941</v>
      </c>
      <c r="S147" s="8">
        <v>9.760825435E9</v>
      </c>
      <c r="T147" s="11">
        <v>7.9241788E7</v>
      </c>
      <c r="U147" s="11">
        <v>1.7664223E7</v>
      </c>
      <c r="V147" s="23">
        <v>46080.0</v>
      </c>
      <c r="W147" s="32">
        <f t="shared" si="1"/>
        <v>46110</v>
      </c>
      <c r="X147" s="8" t="s">
        <v>137</v>
      </c>
      <c r="Y147" s="7" t="str">
        <f t="shared" si="2"/>
        <v>Expired</v>
      </c>
      <c r="Z147" s="8">
        <f t="shared" si="3"/>
        <v>0</v>
      </c>
      <c r="AA147" s="7">
        <v>46144.0</v>
      </c>
      <c r="AB147" s="8" t="s">
        <v>942</v>
      </c>
      <c r="AC147" s="8" t="s">
        <v>943</v>
      </c>
      <c r="AD147" s="8"/>
      <c r="AE147" s="8"/>
      <c r="AF147" s="8"/>
      <c r="AG147" s="8"/>
      <c r="AH147" s="8"/>
      <c r="AI147" s="8">
        <v>2.4388224E7</v>
      </c>
      <c r="AJ147" s="8">
        <v>8.5041249E7</v>
      </c>
      <c r="AK147" s="24"/>
      <c r="AL147" s="7"/>
      <c r="AM147" s="22"/>
    </row>
    <row r="148" ht="22.5" customHeight="1">
      <c r="A148" s="26"/>
      <c r="B148" s="13" t="s">
        <v>218</v>
      </c>
      <c r="C148" s="13" t="s">
        <v>40</v>
      </c>
      <c r="D148" s="19">
        <v>9.851184644E9</v>
      </c>
      <c r="E148" s="13" t="s">
        <v>944</v>
      </c>
      <c r="F148" s="8" t="s">
        <v>42</v>
      </c>
      <c r="G148" s="13" t="s">
        <v>103</v>
      </c>
      <c r="H148" s="13" t="s">
        <v>220</v>
      </c>
      <c r="I148" s="19" t="s">
        <v>221</v>
      </c>
      <c r="J148" s="19"/>
      <c r="K148" s="19"/>
      <c r="L148" s="19"/>
      <c r="M148" s="13">
        <v>9483.0</v>
      </c>
      <c r="N148" s="13"/>
      <c r="O148" s="13"/>
      <c r="P148" s="13"/>
      <c r="Q148" s="13" t="s">
        <v>48</v>
      </c>
      <c r="R148" s="52" t="s">
        <v>945</v>
      </c>
      <c r="S148" s="13"/>
      <c r="T148" s="13">
        <v>2.3504302E7</v>
      </c>
      <c r="U148" s="13">
        <v>3.2651189E7</v>
      </c>
      <c r="V148" s="25"/>
      <c r="W148" s="27" t="str">
        <f t="shared" si="1"/>
        <v/>
      </c>
      <c r="X148" s="13" t="s">
        <v>63</v>
      </c>
      <c r="Y148" s="7" t="str">
        <f t="shared" si="2"/>
        <v>Expired</v>
      </c>
      <c r="Z148" s="8">
        <f t="shared" si="3"/>
        <v>0</v>
      </c>
      <c r="AA148" s="37"/>
      <c r="AB148" s="13" t="s">
        <v>946</v>
      </c>
      <c r="AC148" s="13" t="s">
        <v>946</v>
      </c>
      <c r="AD148" s="13"/>
      <c r="AE148" s="13"/>
      <c r="AF148" s="13"/>
      <c r="AG148" s="13"/>
      <c r="AH148" s="13"/>
      <c r="AI148" s="13">
        <v>2.3504302E7</v>
      </c>
      <c r="AJ148" s="13">
        <v>3.2651189E7</v>
      </c>
      <c r="AK148" s="37"/>
      <c r="AL148" s="26"/>
      <c r="AM148" s="46"/>
    </row>
    <row r="149" ht="22.5" customHeight="1">
      <c r="A149" s="7"/>
      <c r="B149" s="8"/>
      <c r="C149" s="8" t="s">
        <v>56</v>
      </c>
      <c r="D149" s="9"/>
      <c r="E149" s="8" t="s">
        <v>701</v>
      </c>
      <c r="F149" s="8" t="s">
        <v>42</v>
      </c>
      <c r="G149" s="8" t="s">
        <v>103</v>
      </c>
      <c r="H149" s="8" t="s">
        <v>58</v>
      </c>
      <c r="I149" s="9" t="s">
        <v>45</v>
      </c>
      <c r="J149" s="9"/>
      <c r="K149" s="9"/>
      <c r="L149" s="9"/>
      <c r="M149" s="8">
        <v>2523.0</v>
      </c>
      <c r="N149" s="8"/>
      <c r="O149" s="8"/>
      <c r="P149" s="8"/>
      <c r="Q149" s="8" t="s">
        <v>48</v>
      </c>
      <c r="R149" s="13" t="s">
        <v>947</v>
      </c>
      <c r="S149" s="53">
        <v>9.760843246E9</v>
      </c>
      <c r="T149" s="8">
        <v>8.672641E7</v>
      </c>
      <c r="U149" s="8">
        <v>3.8992625E7</v>
      </c>
      <c r="V149" s="23">
        <v>46002.0</v>
      </c>
      <c r="W149" s="32">
        <f t="shared" si="1"/>
        <v>46182</v>
      </c>
      <c r="X149" s="8" t="s">
        <v>63</v>
      </c>
      <c r="Y149" s="7" t="str">
        <f t="shared" si="2"/>
        <v>Active</v>
      </c>
      <c r="Z149" s="8">
        <f t="shared" si="3"/>
        <v>67</v>
      </c>
      <c r="AA149" s="7">
        <v>46182.0</v>
      </c>
      <c r="AB149" s="8" t="s">
        <v>948</v>
      </c>
      <c r="AC149" s="8">
        <v>9.8576883E9</v>
      </c>
      <c r="AD149" s="8"/>
      <c r="AE149" s="8"/>
      <c r="AF149" s="8"/>
      <c r="AG149" s="8"/>
      <c r="AH149" s="8">
        <v>9.8576883E9</v>
      </c>
      <c r="AI149" s="8">
        <v>1.2525262E7</v>
      </c>
      <c r="AJ149" s="8">
        <v>1.7810144E7</v>
      </c>
      <c r="AK149" s="24"/>
      <c r="AL149" s="7"/>
      <c r="AM149" s="22"/>
    </row>
    <row r="150" ht="22.5" customHeight="1">
      <c r="A150" s="7"/>
      <c r="B150" s="8" t="s">
        <v>949</v>
      </c>
      <c r="C150" s="8" t="s">
        <v>40</v>
      </c>
      <c r="D150" s="9" t="s">
        <v>950</v>
      </c>
      <c r="E150" s="8" t="s">
        <v>951</v>
      </c>
      <c r="F150" s="8" t="s">
        <v>42</v>
      </c>
      <c r="G150" s="8" t="s">
        <v>103</v>
      </c>
      <c r="H150" s="8" t="s">
        <v>715</v>
      </c>
      <c r="I150" s="9" t="s">
        <v>45</v>
      </c>
      <c r="J150" s="9"/>
      <c r="K150" s="9"/>
      <c r="L150" s="9"/>
      <c r="M150" s="8">
        <v>2996.0</v>
      </c>
      <c r="N150" s="8"/>
      <c r="O150" s="8"/>
      <c r="P150" s="8"/>
      <c r="Q150" s="8" t="s">
        <v>48</v>
      </c>
      <c r="R150" s="54" t="s">
        <v>952</v>
      </c>
      <c r="S150" s="8">
        <v>9.760839175E9</v>
      </c>
      <c r="T150" s="8">
        <v>2.4921321E7</v>
      </c>
      <c r="U150" s="8">
        <v>8.6792913E7</v>
      </c>
      <c r="V150" s="23">
        <v>45771.0</v>
      </c>
      <c r="W150" s="32">
        <f t="shared" si="1"/>
        <v>45951</v>
      </c>
      <c r="X150" s="8" t="s">
        <v>63</v>
      </c>
      <c r="Y150" s="7" t="str">
        <f t="shared" si="2"/>
        <v>Expired</v>
      </c>
      <c r="Z150" s="8">
        <f t="shared" si="3"/>
        <v>0</v>
      </c>
      <c r="AA150" s="24"/>
      <c r="AB150" s="8" t="s">
        <v>953</v>
      </c>
      <c r="AC150" s="8">
        <v>9.851079287E9</v>
      </c>
      <c r="AD150" s="8"/>
      <c r="AE150" s="8"/>
      <c r="AF150" s="8"/>
      <c r="AG150" s="8"/>
      <c r="AH150" s="8">
        <v>9.808549997E9</v>
      </c>
      <c r="AI150" s="8">
        <v>2.4921321E7</v>
      </c>
      <c r="AJ150" s="8">
        <v>8.6792913E7</v>
      </c>
      <c r="AK150" s="24"/>
      <c r="AL150" s="7"/>
      <c r="AM150" s="22"/>
    </row>
    <row r="151" ht="22.5" customHeight="1">
      <c r="A151" s="7"/>
      <c r="B151" s="8" t="s">
        <v>954</v>
      </c>
      <c r="C151" s="8" t="s">
        <v>40</v>
      </c>
      <c r="D151" s="9">
        <v>9.745365672E9</v>
      </c>
      <c r="E151" s="8" t="s">
        <v>955</v>
      </c>
      <c r="F151" s="8" t="s">
        <v>42</v>
      </c>
      <c r="G151" s="8" t="s">
        <v>103</v>
      </c>
      <c r="H151" s="8" t="s">
        <v>510</v>
      </c>
      <c r="I151" s="9" t="s">
        <v>425</v>
      </c>
      <c r="J151" s="9"/>
      <c r="K151" s="9"/>
      <c r="L151" s="9"/>
      <c r="M151" s="8">
        <v>5552.0</v>
      </c>
      <c r="N151" s="8"/>
      <c r="O151" s="8"/>
      <c r="P151" s="8"/>
      <c r="Q151" s="8" t="s">
        <v>252</v>
      </c>
      <c r="R151" s="54"/>
      <c r="S151" s="8">
        <v>9.813740823E9</v>
      </c>
      <c r="T151" s="8"/>
      <c r="U151" s="7">
        <v>45982.0</v>
      </c>
      <c r="V151" s="23">
        <v>45982.0</v>
      </c>
      <c r="W151" s="32">
        <f>IF(V151="","",IF(X151="1 Month", V151+30,
IF(X151="1 Ncell", V151+28,
IF(X151="2 Ncell", V151+56,
IF(X151="3 Ncell", V151+84,
IF(X151="4 Ncell", V151+112,
IF(X151="6 ncell", V151+168,
IF(X151="2 Month", V151+60,
IF(X151="3 Month", V151+90,
IF(X151="6 Month", V151+180,
IF(X151="1 Year", V151+365,""))))))))))
)</f>
        <v>46094</v>
      </c>
      <c r="X151" s="8" t="s">
        <v>956</v>
      </c>
      <c r="Y151" s="7" t="str">
        <f t="shared" si="2"/>
        <v>Expired</v>
      </c>
      <c r="Z151" s="8">
        <f t="shared" si="3"/>
        <v>0</v>
      </c>
      <c r="AA151" s="7"/>
      <c r="AB151" s="8" t="s">
        <v>957</v>
      </c>
      <c r="AC151" s="8"/>
      <c r="AD151" s="8"/>
      <c r="AE151" s="8"/>
      <c r="AF151" s="8"/>
      <c r="AG151" s="8"/>
      <c r="AH151" s="8"/>
      <c r="AI151" s="8"/>
      <c r="AJ151" s="8"/>
      <c r="AK151" s="24"/>
      <c r="AL151" s="7"/>
      <c r="AM151" s="22"/>
    </row>
    <row r="152" ht="22.5" customHeight="1">
      <c r="A152" s="7"/>
      <c r="B152" s="8" t="s">
        <v>949</v>
      </c>
      <c r="C152" s="8" t="s">
        <v>40</v>
      </c>
      <c r="D152" s="9">
        <v>9.851079287E9</v>
      </c>
      <c r="E152" s="8" t="s">
        <v>951</v>
      </c>
      <c r="F152" s="8" t="s">
        <v>42</v>
      </c>
      <c r="G152" s="8" t="s">
        <v>103</v>
      </c>
      <c r="H152" s="8" t="s">
        <v>715</v>
      </c>
      <c r="I152" s="9" t="s">
        <v>45</v>
      </c>
      <c r="J152" s="9"/>
      <c r="K152" s="9"/>
      <c r="L152" s="9"/>
      <c r="M152" s="8">
        <v>2995.0</v>
      </c>
      <c r="N152" s="8"/>
      <c r="O152" s="8"/>
      <c r="P152" s="8"/>
      <c r="Q152" s="8" t="s">
        <v>48</v>
      </c>
      <c r="R152" s="54" t="s">
        <v>958</v>
      </c>
      <c r="S152" s="8">
        <v>9.760839183E9</v>
      </c>
      <c r="T152" s="8">
        <v>2.9048122E7</v>
      </c>
      <c r="U152" s="8">
        <v>3.0178155E7</v>
      </c>
      <c r="V152" s="23">
        <v>45772.0</v>
      </c>
      <c r="W152" s="32">
        <f t="shared" ref="W152:W314" si="5">IF(V152="","",IF(X152="1 Month", V152+30,
IF(X152="1 Ncell", V152+28,
IF(X152="2 Ncell", V152+56,
IF(X152="3 Ncell", V152+84,
IF(X152="6 ncell", V152+168,
IF(X152="2 Month", V152+60,
IF(X152="3 Month", V152+90,
IF(X152="6 Month", V152+180,
IF(X152="1 Year", V152+365,""))))))))))
</f>
        <v>45952</v>
      </c>
      <c r="X152" s="8" t="s">
        <v>63</v>
      </c>
      <c r="Y152" s="7" t="str">
        <f t="shared" si="2"/>
        <v>Expired</v>
      </c>
      <c r="Z152" s="8">
        <f t="shared" si="3"/>
        <v>0</v>
      </c>
      <c r="AA152" s="24"/>
      <c r="AB152" s="8" t="s">
        <v>959</v>
      </c>
      <c r="AC152" s="8">
        <v>9.851079287E9</v>
      </c>
      <c r="AD152" s="8"/>
      <c r="AE152" s="8"/>
      <c r="AF152" s="8"/>
      <c r="AG152" s="8"/>
      <c r="AH152" s="8"/>
      <c r="AI152" s="8">
        <v>2.9048122E7</v>
      </c>
      <c r="AJ152" s="8">
        <v>3.0178155E7</v>
      </c>
      <c r="AK152" s="24"/>
      <c r="AL152" s="7"/>
      <c r="AM152" s="22"/>
    </row>
    <row r="153" ht="22.5" customHeight="1">
      <c r="A153" s="7"/>
      <c r="B153" s="8" t="s">
        <v>960</v>
      </c>
      <c r="C153" s="8" t="s">
        <v>68</v>
      </c>
      <c r="D153" s="9" t="s">
        <v>961</v>
      </c>
      <c r="E153" s="8" t="s">
        <v>962</v>
      </c>
      <c r="F153" s="8" t="s">
        <v>42</v>
      </c>
      <c r="G153" s="8" t="s">
        <v>103</v>
      </c>
      <c r="H153" s="8" t="s">
        <v>70</v>
      </c>
      <c r="I153" s="9" t="s">
        <v>45</v>
      </c>
      <c r="J153" s="9"/>
      <c r="K153" s="9"/>
      <c r="L153" s="9"/>
      <c r="M153" s="8"/>
      <c r="N153" s="8"/>
      <c r="O153" s="8"/>
      <c r="P153" s="8"/>
      <c r="Q153" s="8" t="s">
        <v>48</v>
      </c>
      <c r="R153" s="54" t="s">
        <v>963</v>
      </c>
      <c r="S153" s="8">
        <v>9.760837815E9</v>
      </c>
      <c r="T153" s="8">
        <v>1.7793239E7</v>
      </c>
      <c r="U153" s="8"/>
      <c r="V153" s="8"/>
      <c r="W153" s="27" t="str">
        <f t="shared" si="5"/>
        <v/>
      </c>
      <c r="X153" s="8" t="s">
        <v>63</v>
      </c>
      <c r="Y153" s="7" t="str">
        <f t="shared" si="2"/>
        <v>Expired</v>
      </c>
      <c r="Z153" s="8">
        <f t="shared" si="3"/>
        <v>0</v>
      </c>
      <c r="AA153" s="24"/>
      <c r="AB153" s="8" t="s">
        <v>962</v>
      </c>
      <c r="AC153" s="8"/>
      <c r="AD153" s="8"/>
      <c r="AE153" s="8"/>
      <c r="AF153" s="8"/>
      <c r="AG153" s="8"/>
      <c r="AH153" s="8"/>
      <c r="AI153" s="8">
        <v>1.7793239E7</v>
      </c>
      <c r="AJ153" s="8"/>
      <c r="AK153" s="24"/>
      <c r="AL153" s="7"/>
      <c r="AM153" s="22"/>
    </row>
    <row r="154" ht="22.5" customHeight="1">
      <c r="A154" s="7"/>
      <c r="B154" s="8" t="s">
        <v>964</v>
      </c>
      <c r="C154" s="8" t="s">
        <v>965</v>
      </c>
      <c r="D154" s="9">
        <v>9.804308777E9</v>
      </c>
      <c r="E154" s="8" t="s">
        <v>966</v>
      </c>
      <c r="F154" s="8" t="s">
        <v>42</v>
      </c>
      <c r="G154" s="8" t="s">
        <v>103</v>
      </c>
      <c r="H154" s="8" t="s">
        <v>967</v>
      </c>
      <c r="I154" s="9" t="s">
        <v>968</v>
      </c>
      <c r="J154" s="9"/>
      <c r="K154" s="9">
        <v>9.804308777E9</v>
      </c>
      <c r="L154" s="9" t="s">
        <v>969</v>
      </c>
      <c r="M154" s="8">
        <v>1192.0</v>
      </c>
      <c r="N154" s="8" t="s">
        <v>970</v>
      </c>
      <c r="O154" s="8" t="s">
        <v>971</v>
      </c>
      <c r="P154" s="8"/>
      <c r="Q154" s="8" t="s">
        <v>48</v>
      </c>
      <c r="R154" s="54" t="s">
        <v>972</v>
      </c>
      <c r="S154" s="13">
        <v>9.760839262E9</v>
      </c>
      <c r="T154" s="8">
        <v>4.0161492E7</v>
      </c>
      <c r="U154" s="8">
        <v>5.1169416E7</v>
      </c>
      <c r="V154" s="23">
        <v>45809.0</v>
      </c>
      <c r="W154" s="32">
        <f t="shared" si="5"/>
        <v>45989</v>
      </c>
      <c r="X154" s="8" t="s">
        <v>63</v>
      </c>
      <c r="Y154" s="7" t="str">
        <f t="shared" si="2"/>
        <v>Expired</v>
      </c>
      <c r="Z154" s="8">
        <f t="shared" si="3"/>
        <v>0</v>
      </c>
      <c r="AA154" s="7">
        <v>45992.0</v>
      </c>
      <c r="AB154" s="8" t="s">
        <v>973</v>
      </c>
      <c r="AC154" s="8" t="s">
        <v>974</v>
      </c>
      <c r="AD154" s="8"/>
      <c r="AE154" s="8"/>
      <c r="AF154" s="8"/>
      <c r="AG154" s="8"/>
      <c r="AH154" s="8"/>
      <c r="AI154" s="8">
        <v>4.0161492E7</v>
      </c>
      <c r="AJ154" s="8">
        <v>5.1169416E7</v>
      </c>
      <c r="AK154" s="24">
        <v>0.4534722222222222</v>
      </c>
      <c r="AL154" s="7"/>
      <c r="AM154" s="22"/>
    </row>
    <row r="155" ht="22.5" customHeight="1">
      <c r="A155" s="7"/>
      <c r="B155" s="8" t="s">
        <v>975</v>
      </c>
      <c r="C155" s="8" t="s">
        <v>965</v>
      </c>
      <c r="D155" s="9">
        <v>9.810435261E9</v>
      </c>
      <c r="E155" s="8" t="s">
        <v>976</v>
      </c>
      <c r="F155" s="8" t="s">
        <v>42</v>
      </c>
      <c r="G155" s="8" t="s">
        <v>103</v>
      </c>
      <c r="H155" s="8" t="s">
        <v>977</v>
      </c>
      <c r="I155" s="9" t="s">
        <v>649</v>
      </c>
      <c r="J155" s="9"/>
      <c r="K155" s="9">
        <v>9.810336441E9</v>
      </c>
      <c r="L155" s="9" t="s">
        <v>439</v>
      </c>
      <c r="M155" s="8">
        <v>5883.0</v>
      </c>
      <c r="N155" s="8" t="s">
        <v>978</v>
      </c>
      <c r="O155" s="8" t="s">
        <v>979</v>
      </c>
      <c r="P155" s="8"/>
      <c r="Q155" s="8" t="s">
        <v>48</v>
      </c>
      <c r="R155" s="8" t="s">
        <v>980</v>
      </c>
      <c r="S155" s="8">
        <v>9.760839202E9</v>
      </c>
      <c r="T155" s="8">
        <v>2.2652853E7</v>
      </c>
      <c r="U155" s="8"/>
      <c r="V155" s="23">
        <v>46099.0</v>
      </c>
      <c r="W155" s="32">
        <f t="shared" si="5"/>
        <v>46129</v>
      </c>
      <c r="X155" s="8" t="s">
        <v>215</v>
      </c>
      <c r="Y155" s="7" t="str">
        <f t="shared" si="2"/>
        <v>Active</v>
      </c>
      <c r="Z155" s="8">
        <f t="shared" si="3"/>
        <v>14</v>
      </c>
      <c r="AA155" s="7">
        <v>46164.0</v>
      </c>
      <c r="AB155" s="8" t="s">
        <v>981</v>
      </c>
      <c r="AC155" s="8" t="s">
        <v>982</v>
      </c>
      <c r="AD155" s="8"/>
      <c r="AE155" s="8"/>
      <c r="AF155" s="8"/>
      <c r="AG155" s="8"/>
      <c r="AH155" s="8"/>
      <c r="AI155" s="8">
        <v>1.3607206E7</v>
      </c>
      <c r="AJ155" s="8">
        <v>7.5761731E7</v>
      </c>
      <c r="AK155" s="24"/>
      <c r="AL155" s="7"/>
      <c r="AM155" s="22"/>
    </row>
    <row r="156" ht="22.5" customHeight="1">
      <c r="A156" s="7"/>
      <c r="B156" s="8" t="s">
        <v>983</v>
      </c>
      <c r="C156" s="8"/>
      <c r="D156" s="9"/>
      <c r="E156" s="8" t="s">
        <v>984</v>
      </c>
      <c r="F156" s="8" t="s">
        <v>42</v>
      </c>
      <c r="G156" s="8" t="s">
        <v>103</v>
      </c>
      <c r="H156" s="8" t="s">
        <v>782</v>
      </c>
      <c r="I156" s="9" t="s">
        <v>45</v>
      </c>
      <c r="J156" s="9"/>
      <c r="K156" s="9"/>
      <c r="L156" s="9"/>
      <c r="M156" s="8">
        <v>2580.0</v>
      </c>
      <c r="N156" s="8"/>
      <c r="O156" s="8"/>
      <c r="P156" s="8"/>
      <c r="Q156" s="8" t="s">
        <v>48</v>
      </c>
      <c r="R156" s="13" t="s">
        <v>985</v>
      </c>
      <c r="S156" s="53">
        <v>9.760843243E9</v>
      </c>
      <c r="T156" s="8">
        <v>3.2748287E7</v>
      </c>
      <c r="U156" s="8">
        <v>6.4491038E7</v>
      </c>
      <c r="V156" s="23">
        <v>46002.0</v>
      </c>
      <c r="W156" s="32">
        <f t="shared" si="5"/>
        <v>46032</v>
      </c>
      <c r="X156" s="8" t="s">
        <v>137</v>
      </c>
      <c r="Y156" s="7" t="str">
        <f t="shared" si="2"/>
        <v>Expired</v>
      </c>
      <c r="Z156" s="8">
        <f t="shared" si="3"/>
        <v>0</v>
      </c>
      <c r="AA156" s="23">
        <f>V156+180</f>
        <v>46182</v>
      </c>
      <c r="AB156" s="8" t="s">
        <v>986</v>
      </c>
      <c r="AC156" s="8" t="s">
        <v>987</v>
      </c>
      <c r="AD156" s="8"/>
      <c r="AE156" s="8"/>
      <c r="AF156" s="8"/>
      <c r="AG156" s="8"/>
      <c r="AH156" s="8"/>
      <c r="AI156" s="8"/>
      <c r="AJ156" s="8"/>
      <c r="AK156" s="24"/>
      <c r="AL156" s="7"/>
      <c r="AM156" s="22"/>
    </row>
    <row r="157" ht="22.5" customHeight="1">
      <c r="A157" s="7"/>
      <c r="B157" s="8" t="s">
        <v>975</v>
      </c>
      <c r="C157" s="8" t="s">
        <v>965</v>
      </c>
      <c r="D157" s="9">
        <v>9.810435261E9</v>
      </c>
      <c r="E157" s="8" t="s">
        <v>447</v>
      </c>
      <c r="F157" s="8" t="s">
        <v>42</v>
      </c>
      <c r="G157" s="8" t="s">
        <v>103</v>
      </c>
      <c r="H157" s="8" t="s">
        <v>596</v>
      </c>
      <c r="I157" s="9" t="s">
        <v>649</v>
      </c>
      <c r="J157" s="9"/>
      <c r="K157" s="9">
        <v>9.810336441E9</v>
      </c>
      <c r="L157" s="9" t="s">
        <v>439</v>
      </c>
      <c r="M157" s="8">
        <v>5884.0</v>
      </c>
      <c r="N157" s="8" t="s">
        <v>988</v>
      </c>
      <c r="O157" s="8" t="s">
        <v>989</v>
      </c>
      <c r="P157" s="8"/>
      <c r="Q157" s="8" t="s">
        <v>48</v>
      </c>
      <c r="R157" s="54" t="s">
        <v>990</v>
      </c>
      <c r="S157" s="8">
        <v>9.760837648E9</v>
      </c>
      <c r="T157" s="11">
        <v>1.539431E7</v>
      </c>
      <c r="U157" s="11">
        <v>1.5913602E7</v>
      </c>
      <c r="V157" s="23">
        <v>46092.0</v>
      </c>
      <c r="W157" s="32">
        <f t="shared" si="5"/>
        <v>46122</v>
      </c>
      <c r="X157" s="8" t="s">
        <v>215</v>
      </c>
      <c r="Y157" s="7" t="str">
        <f t="shared" si="2"/>
        <v>Active</v>
      </c>
      <c r="Z157" s="8">
        <f t="shared" si="3"/>
        <v>7</v>
      </c>
      <c r="AA157" s="7">
        <v>46154.0</v>
      </c>
      <c r="AB157" s="8" t="s">
        <v>991</v>
      </c>
      <c r="AC157" s="8" t="s">
        <v>992</v>
      </c>
      <c r="AD157" s="8"/>
      <c r="AE157" s="8"/>
      <c r="AF157" s="8"/>
      <c r="AG157" s="8"/>
      <c r="AH157" s="8"/>
      <c r="AI157" s="8">
        <v>2.4075306E7</v>
      </c>
      <c r="AJ157" s="8"/>
      <c r="AK157" s="24"/>
      <c r="AL157" s="7"/>
      <c r="AM157" s="22"/>
    </row>
    <row r="158" ht="22.5" customHeight="1">
      <c r="A158" s="7"/>
      <c r="B158" s="8" t="s">
        <v>993</v>
      </c>
      <c r="C158" s="8" t="s">
        <v>965</v>
      </c>
      <c r="D158" s="9">
        <v>9.804308777E9</v>
      </c>
      <c r="E158" s="8" t="s">
        <v>994</v>
      </c>
      <c r="F158" s="8" t="s">
        <v>42</v>
      </c>
      <c r="G158" s="8" t="s">
        <v>103</v>
      </c>
      <c r="H158" s="8" t="s">
        <v>967</v>
      </c>
      <c r="I158" s="9" t="s">
        <v>968</v>
      </c>
      <c r="J158" s="9"/>
      <c r="K158" s="9">
        <v>9.804308777E9</v>
      </c>
      <c r="L158" s="9" t="s">
        <v>969</v>
      </c>
      <c r="M158" s="8">
        <v>1188.0</v>
      </c>
      <c r="N158" s="8" t="s">
        <v>995</v>
      </c>
      <c r="O158" s="8" t="s">
        <v>996</v>
      </c>
      <c r="P158" s="8"/>
      <c r="Q158" s="8" t="s">
        <v>48</v>
      </c>
      <c r="R158" s="54" t="s">
        <v>997</v>
      </c>
      <c r="S158" s="8"/>
      <c r="T158" s="8">
        <v>2.5744813E7</v>
      </c>
      <c r="U158" s="8">
        <v>2.0040288E7</v>
      </c>
      <c r="V158" s="23"/>
      <c r="W158" s="27" t="str">
        <f t="shared" si="5"/>
        <v/>
      </c>
      <c r="X158" s="8" t="s">
        <v>63</v>
      </c>
      <c r="Y158" s="7" t="str">
        <f t="shared" si="2"/>
        <v>Expired</v>
      </c>
      <c r="Z158" s="8">
        <f t="shared" si="3"/>
        <v>0</v>
      </c>
      <c r="AA158" s="24"/>
      <c r="AB158" s="8" t="s">
        <v>998</v>
      </c>
      <c r="AC158" s="8" t="s">
        <v>999</v>
      </c>
      <c r="AD158" s="8"/>
      <c r="AE158" s="8"/>
      <c r="AF158" s="8"/>
      <c r="AG158" s="8"/>
      <c r="AH158" s="8"/>
      <c r="AI158" s="8">
        <v>2.5744813E7</v>
      </c>
      <c r="AJ158" s="8">
        <v>2.0040288E7</v>
      </c>
      <c r="AK158" s="24"/>
      <c r="AL158" s="7"/>
      <c r="AM158" s="22"/>
    </row>
    <row r="159" ht="22.5" customHeight="1">
      <c r="A159" s="7"/>
      <c r="B159" s="8" t="s">
        <v>1000</v>
      </c>
      <c r="C159" s="8" t="s">
        <v>56</v>
      </c>
      <c r="D159" s="9">
        <v>9.766869035E9</v>
      </c>
      <c r="E159" s="8" t="s">
        <v>701</v>
      </c>
      <c r="F159" s="8" t="s">
        <v>42</v>
      </c>
      <c r="G159" s="8" t="s">
        <v>103</v>
      </c>
      <c r="H159" s="8" t="s">
        <v>58</v>
      </c>
      <c r="I159" s="9" t="s">
        <v>45</v>
      </c>
      <c r="J159" s="9"/>
      <c r="K159" s="9">
        <v>9.842394701E9</v>
      </c>
      <c r="L159" s="9" t="s">
        <v>702</v>
      </c>
      <c r="M159" s="8"/>
      <c r="N159" s="8" t="s">
        <v>1001</v>
      </c>
      <c r="O159" s="8" t="s">
        <v>1002</v>
      </c>
      <c r="P159" s="8"/>
      <c r="Q159" s="8" t="s">
        <v>48</v>
      </c>
      <c r="R159" s="54" t="s">
        <v>1003</v>
      </c>
      <c r="S159" s="8">
        <v>9.760834974E9</v>
      </c>
      <c r="T159" s="8">
        <v>1.8734319E7</v>
      </c>
      <c r="U159" s="8"/>
      <c r="V159" s="23">
        <v>45861.0</v>
      </c>
      <c r="W159" s="32">
        <f t="shared" si="5"/>
        <v>46041</v>
      </c>
      <c r="X159" s="8" t="s">
        <v>63</v>
      </c>
      <c r="Y159" s="7" t="str">
        <f t="shared" si="2"/>
        <v>Expired</v>
      </c>
      <c r="Z159" s="8">
        <f t="shared" si="3"/>
        <v>0</v>
      </c>
      <c r="AA159" s="7">
        <v>46041.0</v>
      </c>
      <c r="AB159" s="8" t="s">
        <v>1004</v>
      </c>
      <c r="AC159" s="8" t="s">
        <v>1005</v>
      </c>
      <c r="AD159" s="8"/>
      <c r="AE159" s="8"/>
      <c r="AF159" s="8"/>
      <c r="AG159" s="8"/>
      <c r="AH159" s="8" t="s">
        <v>1006</v>
      </c>
      <c r="AI159" s="8">
        <v>1.8734319E7</v>
      </c>
      <c r="AJ159" s="8"/>
      <c r="AK159" s="24"/>
      <c r="AL159" s="7"/>
      <c r="AM159" s="22"/>
    </row>
    <row r="160" ht="22.5" customHeight="1">
      <c r="A160" s="7"/>
      <c r="B160" s="8" t="s">
        <v>834</v>
      </c>
      <c r="C160" s="8" t="s">
        <v>658</v>
      </c>
      <c r="D160" s="9">
        <v>9.809122278E9</v>
      </c>
      <c r="E160" s="8" t="s">
        <v>935</v>
      </c>
      <c r="F160" s="8" t="s">
        <v>42</v>
      </c>
      <c r="G160" s="8" t="s">
        <v>103</v>
      </c>
      <c r="H160" s="8" t="s">
        <v>660</v>
      </c>
      <c r="I160" s="9" t="s">
        <v>45</v>
      </c>
      <c r="J160" s="9"/>
      <c r="K160" s="9" t="s">
        <v>53</v>
      </c>
      <c r="L160" s="9" t="s">
        <v>53</v>
      </c>
      <c r="M160" s="8">
        <v>7108.0</v>
      </c>
      <c r="N160" s="8" t="s">
        <v>53</v>
      </c>
      <c r="O160" s="8" t="s">
        <v>53</v>
      </c>
      <c r="P160" s="8"/>
      <c r="Q160" s="8" t="s">
        <v>48</v>
      </c>
      <c r="R160" s="54" t="s">
        <v>1007</v>
      </c>
      <c r="S160" s="8">
        <v>9.760837651E9</v>
      </c>
      <c r="T160" s="8">
        <v>1.1918389E7</v>
      </c>
      <c r="U160" s="8">
        <v>2.17021E7</v>
      </c>
      <c r="V160" s="23">
        <v>45784.0</v>
      </c>
      <c r="W160" s="32">
        <f t="shared" si="5"/>
        <v>45964</v>
      </c>
      <c r="X160" s="8" t="s">
        <v>63</v>
      </c>
      <c r="Y160" s="7" t="str">
        <f t="shared" si="2"/>
        <v>Expired</v>
      </c>
      <c r="Z160" s="8">
        <f t="shared" si="3"/>
        <v>0</v>
      </c>
      <c r="AA160" s="24"/>
      <c r="AB160" s="8" t="s">
        <v>1008</v>
      </c>
      <c r="AC160" s="8" t="s">
        <v>1009</v>
      </c>
      <c r="AD160" s="8"/>
      <c r="AE160" s="8"/>
      <c r="AF160" s="8"/>
      <c r="AG160" s="8"/>
      <c r="AH160" s="8"/>
      <c r="AI160" s="8">
        <v>1.1918389E7</v>
      </c>
      <c r="AJ160" s="8">
        <v>2.17021E7</v>
      </c>
      <c r="AK160" s="24"/>
      <c r="AL160" s="7"/>
      <c r="AM160" s="22"/>
    </row>
    <row r="161" ht="22.5" customHeight="1">
      <c r="A161" s="7"/>
      <c r="B161" s="8" t="s">
        <v>1010</v>
      </c>
      <c r="C161" s="8" t="s">
        <v>780</v>
      </c>
      <c r="D161" s="9">
        <v>9.862501889E9</v>
      </c>
      <c r="E161" s="8" t="s">
        <v>1011</v>
      </c>
      <c r="F161" s="8" t="s">
        <v>42</v>
      </c>
      <c r="G161" s="8" t="s">
        <v>1012</v>
      </c>
      <c r="H161" s="8" t="s">
        <v>782</v>
      </c>
      <c r="I161" s="9" t="s">
        <v>1013</v>
      </c>
      <c r="J161" s="9"/>
      <c r="K161" s="9">
        <v>9.862501889E9</v>
      </c>
      <c r="L161" s="9" t="s">
        <v>1014</v>
      </c>
      <c r="M161" s="8">
        <v>54.0</v>
      </c>
      <c r="N161" s="8"/>
      <c r="O161" s="8"/>
      <c r="P161" s="8"/>
      <c r="Q161" s="8" t="s">
        <v>252</v>
      </c>
      <c r="R161" s="54"/>
      <c r="S161" s="8">
        <v>9.704934072E9</v>
      </c>
      <c r="T161" s="7"/>
      <c r="U161" s="8"/>
      <c r="V161" s="23">
        <v>46108.0</v>
      </c>
      <c r="W161" s="32">
        <f t="shared" si="5"/>
        <v>46136</v>
      </c>
      <c r="X161" s="8" t="s">
        <v>98</v>
      </c>
      <c r="Y161" s="7" t="str">
        <f t="shared" si="2"/>
        <v>Active</v>
      </c>
      <c r="Z161" s="8">
        <f t="shared" si="3"/>
        <v>21</v>
      </c>
      <c r="AA161" s="7">
        <v>46010.0</v>
      </c>
      <c r="AB161" s="8" t="s">
        <v>1015</v>
      </c>
      <c r="AC161" s="8" t="s">
        <v>1016</v>
      </c>
      <c r="AD161" s="8"/>
      <c r="AE161" s="8"/>
      <c r="AF161" s="8"/>
      <c r="AG161" s="8"/>
      <c r="AH161" s="8">
        <v>9.842864247E9</v>
      </c>
      <c r="AI161" s="8"/>
      <c r="AJ161" s="8"/>
      <c r="AK161" s="24"/>
      <c r="AL161" s="7"/>
      <c r="AM161" s="22"/>
    </row>
    <row r="162" ht="22.5" customHeight="1">
      <c r="A162" s="7"/>
      <c r="B162" s="8" t="s">
        <v>1017</v>
      </c>
      <c r="C162" s="8" t="s">
        <v>770</v>
      </c>
      <c r="D162" s="9">
        <v>9.815402004E9</v>
      </c>
      <c r="E162" s="8" t="s">
        <v>1018</v>
      </c>
      <c r="F162" s="8" t="s">
        <v>42</v>
      </c>
      <c r="G162" s="8" t="s">
        <v>103</v>
      </c>
      <c r="H162" s="8" t="s">
        <v>771</v>
      </c>
      <c r="I162" s="9" t="s">
        <v>233</v>
      </c>
      <c r="J162" s="9"/>
      <c r="K162" s="9"/>
      <c r="L162" s="9"/>
      <c r="M162" s="8">
        <v>2840.0</v>
      </c>
      <c r="N162" s="8"/>
      <c r="O162" s="8"/>
      <c r="P162" s="8"/>
      <c r="Q162" s="8" t="s">
        <v>48</v>
      </c>
      <c r="R162" s="54"/>
      <c r="S162" s="8"/>
      <c r="T162" s="8"/>
      <c r="U162" s="8"/>
      <c r="V162" s="23"/>
      <c r="W162" s="27" t="str">
        <f t="shared" si="5"/>
        <v/>
      </c>
      <c r="X162" s="8" t="s">
        <v>215</v>
      </c>
      <c r="Y162" s="7" t="str">
        <f t="shared" si="2"/>
        <v>Expired</v>
      </c>
      <c r="Z162" s="8">
        <f t="shared" si="3"/>
        <v>0</v>
      </c>
      <c r="AA162" s="24"/>
      <c r="AB162" s="8" t="s">
        <v>1019</v>
      </c>
      <c r="AC162" s="8"/>
      <c r="AD162" s="8"/>
      <c r="AE162" s="8"/>
      <c r="AF162" s="8"/>
      <c r="AG162" s="8"/>
      <c r="AH162" s="8"/>
      <c r="AI162" s="8"/>
      <c r="AJ162" s="8"/>
      <c r="AK162" s="24"/>
      <c r="AL162" s="7"/>
      <c r="AM162" s="22"/>
    </row>
    <row r="163" ht="22.5" customHeight="1">
      <c r="A163" s="7"/>
      <c r="B163" s="8" t="s">
        <v>1020</v>
      </c>
      <c r="C163" s="8" t="s">
        <v>303</v>
      </c>
      <c r="D163" s="9">
        <v>9.844443881E9</v>
      </c>
      <c r="E163" s="8" t="s">
        <v>1021</v>
      </c>
      <c r="F163" s="8" t="s">
        <v>42</v>
      </c>
      <c r="G163" s="8" t="s">
        <v>103</v>
      </c>
      <c r="H163" s="8" t="s">
        <v>220</v>
      </c>
      <c r="I163" s="9" t="s">
        <v>915</v>
      </c>
      <c r="J163" s="9"/>
      <c r="K163" s="9">
        <v>9.852834695E9</v>
      </c>
      <c r="L163" s="9" t="s">
        <v>382</v>
      </c>
      <c r="M163" s="8">
        <v>457.0</v>
      </c>
      <c r="N163" s="8"/>
      <c r="O163" s="8"/>
      <c r="P163" s="8"/>
      <c r="Q163" s="8" t="s">
        <v>48</v>
      </c>
      <c r="R163" s="54" t="s">
        <v>1022</v>
      </c>
      <c r="S163" s="8">
        <v>9.760835246E9</v>
      </c>
      <c r="T163" s="8">
        <v>9.3784319E7</v>
      </c>
      <c r="U163" s="8">
        <v>2.7397159E7</v>
      </c>
      <c r="V163" s="23"/>
      <c r="W163" s="27" t="str">
        <f t="shared" si="5"/>
        <v/>
      </c>
      <c r="X163" s="8" t="s">
        <v>63</v>
      </c>
      <c r="Y163" s="7" t="str">
        <f t="shared" si="2"/>
        <v>Expired</v>
      </c>
      <c r="Z163" s="8">
        <f t="shared" si="3"/>
        <v>0</v>
      </c>
      <c r="AA163" s="24"/>
      <c r="AB163" s="8" t="s">
        <v>1023</v>
      </c>
      <c r="AC163" s="8">
        <v>9.852834695E9</v>
      </c>
      <c r="AD163" s="8"/>
      <c r="AE163" s="8"/>
      <c r="AF163" s="8"/>
      <c r="AG163" s="8"/>
      <c r="AH163" s="8"/>
      <c r="AI163" s="8">
        <v>9.3784319E7</v>
      </c>
      <c r="AJ163" s="8">
        <v>2.7397159E7</v>
      </c>
      <c r="AK163" s="24"/>
      <c r="AL163" s="7"/>
      <c r="AM163" s="22"/>
    </row>
    <row r="164" ht="22.5" customHeight="1">
      <c r="A164" s="26"/>
      <c r="B164" s="13" t="s">
        <v>1024</v>
      </c>
      <c r="C164" s="13" t="s">
        <v>40</v>
      </c>
      <c r="D164" s="19">
        <v>9.849328621E9</v>
      </c>
      <c r="E164" s="13" t="s">
        <v>1025</v>
      </c>
      <c r="F164" s="8" t="s">
        <v>42</v>
      </c>
      <c r="G164" s="13" t="s">
        <v>103</v>
      </c>
      <c r="H164" s="13" t="s">
        <v>1026</v>
      </c>
      <c r="I164" s="19" t="s">
        <v>45</v>
      </c>
      <c r="J164" s="19"/>
      <c r="K164" s="19" t="s">
        <v>1027</v>
      </c>
      <c r="L164" s="19" t="s">
        <v>1028</v>
      </c>
      <c r="M164" s="13">
        <v>3837.0</v>
      </c>
      <c r="N164" s="13" t="s">
        <v>1029</v>
      </c>
      <c r="O164" s="13" t="s">
        <v>1030</v>
      </c>
      <c r="P164" s="13"/>
      <c r="Q164" s="13" t="s">
        <v>48</v>
      </c>
      <c r="R164" s="13" t="s">
        <v>1031</v>
      </c>
      <c r="S164" s="53">
        <v>9.760843245E9</v>
      </c>
      <c r="T164" s="8">
        <v>1.3871195E7</v>
      </c>
      <c r="U164" s="8">
        <v>1.5182853E7</v>
      </c>
      <c r="V164" s="25">
        <v>46092.0</v>
      </c>
      <c r="W164" s="32">
        <f t="shared" si="5"/>
        <v>46122</v>
      </c>
      <c r="X164" s="13" t="s">
        <v>215</v>
      </c>
      <c r="Y164" s="7" t="str">
        <f t="shared" si="2"/>
        <v>Active</v>
      </c>
      <c r="Z164" s="8">
        <f t="shared" si="3"/>
        <v>7</v>
      </c>
      <c r="AA164" s="26">
        <f>V164+180</f>
        <v>46272</v>
      </c>
      <c r="AB164" s="13" t="s">
        <v>1032</v>
      </c>
      <c r="AC164" s="13" t="s">
        <v>1033</v>
      </c>
      <c r="AD164" s="13"/>
      <c r="AE164" s="13"/>
      <c r="AF164" s="13"/>
      <c r="AG164" s="13"/>
      <c r="AH164" s="13"/>
      <c r="AI164" s="13"/>
      <c r="AJ164" s="13"/>
      <c r="AK164" s="37"/>
      <c r="AL164" s="26"/>
      <c r="AM164" s="46"/>
    </row>
    <row r="165" ht="22.5" customHeight="1">
      <c r="A165" s="26"/>
      <c r="B165" s="13" t="s">
        <v>1034</v>
      </c>
      <c r="C165" s="13" t="s">
        <v>230</v>
      </c>
      <c r="D165" s="19"/>
      <c r="E165" s="13" t="s">
        <v>1035</v>
      </c>
      <c r="F165" s="8" t="s">
        <v>42</v>
      </c>
      <c r="G165" s="13" t="s">
        <v>103</v>
      </c>
      <c r="H165" s="13" t="s">
        <v>1036</v>
      </c>
      <c r="I165" s="19" t="s">
        <v>968</v>
      </c>
      <c r="J165" s="19"/>
      <c r="K165" s="19" t="s">
        <v>235</v>
      </c>
      <c r="L165" s="19" t="s">
        <v>236</v>
      </c>
      <c r="M165" s="13">
        <v>2712.0</v>
      </c>
      <c r="N165" s="13"/>
      <c r="O165" s="13"/>
      <c r="P165" s="13"/>
      <c r="Q165" s="13" t="s">
        <v>252</v>
      </c>
      <c r="R165" s="52"/>
      <c r="S165" s="13">
        <v>9.703124898E9</v>
      </c>
      <c r="T165" s="13"/>
      <c r="U165" s="13"/>
      <c r="V165" s="25">
        <v>45794.0</v>
      </c>
      <c r="W165" s="32">
        <f t="shared" si="5"/>
        <v>45822</v>
      </c>
      <c r="X165" s="13" t="s">
        <v>98</v>
      </c>
      <c r="Y165" s="7" t="str">
        <f t="shared" si="2"/>
        <v>Expired</v>
      </c>
      <c r="Z165" s="8">
        <f t="shared" si="3"/>
        <v>0</v>
      </c>
      <c r="AA165" s="37"/>
      <c r="AB165" s="13" t="s">
        <v>1037</v>
      </c>
      <c r="AC165" s="13" t="s">
        <v>1038</v>
      </c>
      <c r="AD165" s="13"/>
      <c r="AE165" s="13"/>
      <c r="AF165" s="13"/>
      <c r="AG165" s="13"/>
      <c r="AH165" s="13"/>
      <c r="AI165" s="13"/>
      <c r="AJ165" s="13"/>
      <c r="AK165" s="37"/>
      <c r="AL165" s="26"/>
      <c r="AM165" s="46"/>
    </row>
    <row r="166" ht="22.5" hidden="1" customHeight="1">
      <c r="A166" s="7"/>
      <c r="B166" s="8" t="s">
        <v>1039</v>
      </c>
      <c r="C166" s="8" t="s">
        <v>230</v>
      </c>
      <c r="D166" s="9">
        <v>9.865388655E9</v>
      </c>
      <c r="E166" s="8" t="s">
        <v>1040</v>
      </c>
      <c r="F166" s="8" t="s">
        <v>42</v>
      </c>
      <c r="G166" s="8" t="s">
        <v>103</v>
      </c>
      <c r="H166" s="8" t="s">
        <v>232</v>
      </c>
      <c r="I166" s="9" t="s">
        <v>45</v>
      </c>
      <c r="J166" s="9"/>
      <c r="K166" s="9"/>
      <c r="L166" s="9"/>
      <c r="M166" s="8">
        <v>9029.0</v>
      </c>
      <c r="N166" s="8"/>
      <c r="O166" s="8"/>
      <c r="P166" s="8"/>
      <c r="Q166" s="8" t="s">
        <v>48</v>
      </c>
      <c r="R166" s="54" t="s">
        <v>1041</v>
      </c>
      <c r="S166" s="8"/>
      <c r="T166" s="8">
        <v>6.3199417E7</v>
      </c>
      <c r="U166" s="8">
        <v>2.1310157E7</v>
      </c>
      <c r="V166" s="23">
        <v>45791.0</v>
      </c>
      <c r="W166" s="32">
        <f t="shared" si="5"/>
        <v>45971</v>
      </c>
      <c r="X166" s="8" t="s">
        <v>63</v>
      </c>
      <c r="Y166" s="7" t="str">
        <f t="shared" si="2"/>
        <v>Expired</v>
      </c>
      <c r="Z166" s="8">
        <f t="shared" si="3"/>
        <v>0</v>
      </c>
      <c r="AA166" s="24"/>
      <c r="AB166" s="8" t="s">
        <v>1042</v>
      </c>
      <c r="AC166" s="8">
        <v>9.801662301E9</v>
      </c>
      <c r="AD166" s="8"/>
      <c r="AE166" s="8"/>
      <c r="AF166" s="8"/>
      <c r="AG166" s="8"/>
      <c r="AH166" s="8">
        <v>9.812088002E9</v>
      </c>
      <c r="AI166" s="8">
        <v>6.3199417E7</v>
      </c>
      <c r="AJ166" s="8">
        <v>2.1310157E7</v>
      </c>
      <c r="AK166" s="24"/>
      <c r="AL166" s="7"/>
      <c r="AM166" s="22"/>
    </row>
    <row r="167" ht="22.5" hidden="1" customHeight="1">
      <c r="A167" s="26"/>
      <c r="B167" s="13" t="s">
        <v>1039</v>
      </c>
      <c r="C167" s="13" t="s">
        <v>230</v>
      </c>
      <c r="D167" s="19">
        <v>9.865388655E9</v>
      </c>
      <c r="E167" s="13" t="s">
        <v>1043</v>
      </c>
      <c r="F167" s="8" t="s">
        <v>42</v>
      </c>
      <c r="G167" s="13" t="s">
        <v>103</v>
      </c>
      <c r="H167" s="13" t="s">
        <v>1044</v>
      </c>
      <c r="I167" s="19" t="s">
        <v>45</v>
      </c>
      <c r="J167" s="19"/>
      <c r="K167" s="19"/>
      <c r="L167" s="19"/>
      <c r="M167" s="13">
        <v>3316.0</v>
      </c>
      <c r="N167" s="13"/>
      <c r="O167" s="13"/>
      <c r="P167" s="13"/>
      <c r="Q167" s="13" t="s">
        <v>48</v>
      </c>
      <c r="R167" s="52" t="s">
        <v>1045</v>
      </c>
      <c r="S167" s="13"/>
      <c r="T167" s="13">
        <v>6.4161039E7</v>
      </c>
      <c r="U167" s="13">
        <v>1.6181572E7</v>
      </c>
      <c r="V167" s="25">
        <v>45791.0</v>
      </c>
      <c r="W167" s="32">
        <f t="shared" si="5"/>
        <v>45971</v>
      </c>
      <c r="X167" s="13" t="s">
        <v>63</v>
      </c>
      <c r="Y167" s="7" t="str">
        <f t="shared" si="2"/>
        <v>Expired</v>
      </c>
      <c r="Z167" s="8">
        <f t="shared" si="3"/>
        <v>0</v>
      </c>
      <c r="AA167" s="37"/>
      <c r="AB167" s="13" t="s">
        <v>1046</v>
      </c>
      <c r="AC167" s="13" t="s">
        <v>1047</v>
      </c>
      <c r="AD167" s="13"/>
      <c r="AE167" s="13"/>
      <c r="AF167" s="13"/>
      <c r="AG167" s="13"/>
      <c r="AH167" s="13">
        <v>9.819839202E9</v>
      </c>
      <c r="AI167" s="13">
        <v>6.4161039E7</v>
      </c>
      <c r="AJ167" s="13">
        <v>1.6181572E7</v>
      </c>
      <c r="AK167" s="37"/>
      <c r="AL167" s="26"/>
      <c r="AM167" s="46"/>
    </row>
    <row r="168" ht="22.5" hidden="1" customHeight="1">
      <c r="A168" s="7"/>
      <c r="B168" s="8" t="s">
        <v>1048</v>
      </c>
      <c r="C168" s="8" t="s">
        <v>1049</v>
      </c>
      <c r="D168" s="9">
        <v>9.869159737E9</v>
      </c>
      <c r="E168" s="8" t="s">
        <v>1050</v>
      </c>
      <c r="F168" s="8" t="s">
        <v>42</v>
      </c>
      <c r="G168" s="8" t="s">
        <v>1012</v>
      </c>
      <c r="H168" s="8" t="s">
        <v>1051</v>
      </c>
      <c r="I168" s="9" t="s">
        <v>233</v>
      </c>
      <c r="J168" s="9"/>
      <c r="K168" s="9"/>
      <c r="L168" s="9"/>
      <c r="M168" s="8">
        <v>8438.0</v>
      </c>
      <c r="N168" s="8"/>
      <c r="O168" s="8"/>
      <c r="P168" s="8"/>
      <c r="Q168" s="8" t="s">
        <v>48</v>
      </c>
      <c r="R168" s="54" t="s">
        <v>1052</v>
      </c>
      <c r="S168" s="8">
        <v>9.760837449E9</v>
      </c>
      <c r="T168" s="8">
        <v>3.2601327E7</v>
      </c>
      <c r="U168" s="8">
        <v>4.2616472E7</v>
      </c>
      <c r="V168" s="23">
        <v>45792.0</v>
      </c>
      <c r="W168" s="32">
        <f t="shared" si="5"/>
        <v>45972</v>
      </c>
      <c r="X168" s="8" t="s">
        <v>63</v>
      </c>
      <c r="Y168" s="7" t="str">
        <f t="shared" si="2"/>
        <v>Expired</v>
      </c>
      <c r="Z168" s="8">
        <f t="shared" si="3"/>
        <v>0</v>
      </c>
      <c r="AA168" s="24"/>
      <c r="AB168" s="8" t="s">
        <v>1053</v>
      </c>
      <c r="AC168" s="8" t="s">
        <v>1054</v>
      </c>
      <c r="AD168" s="8"/>
      <c r="AE168" s="8"/>
      <c r="AF168" s="8"/>
      <c r="AG168" s="8"/>
      <c r="AH168" s="8">
        <v>9.813007945E9</v>
      </c>
      <c r="AI168" s="8">
        <v>3.2601327E7</v>
      </c>
      <c r="AJ168" s="8">
        <v>4.2616472E7</v>
      </c>
      <c r="AK168" s="24"/>
      <c r="AL168" s="7"/>
      <c r="AM168" s="22"/>
    </row>
    <row r="169" ht="22.5" hidden="1" customHeight="1">
      <c r="A169" s="7"/>
      <c r="B169" s="8" t="s">
        <v>1039</v>
      </c>
      <c r="C169" s="8" t="s">
        <v>230</v>
      </c>
      <c r="D169" s="9">
        <v>9.865388655E9</v>
      </c>
      <c r="E169" s="8" t="s">
        <v>1043</v>
      </c>
      <c r="F169" s="8" t="s">
        <v>42</v>
      </c>
      <c r="G169" s="8" t="s">
        <v>103</v>
      </c>
      <c r="H169" s="8" t="s">
        <v>232</v>
      </c>
      <c r="I169" s="9" t="s">
        <v>45</v>
      </c>
      <c r="J169" s="9"/>
      <c r="K169" s="9"/>
      <c r="L169" s="9"/>
      <c r="M169" s="8">
        <v>9030.0</v>
      </c>
      <c r="N169" s="8"/>
      <c r="O169" s="8"/>
      <c r="P169" s="8"/>
      <c r="Q169" s="8" t="s">
        <v>48</v>
      </c>
      <c r="R169" s="54" t="s">
        <v>1055</v>
      </c>
      <c r="S169" s="8">
        <v>9.760839197E9</v>
      </c>
      <c r="T169" s="8">
        <v>4.4801356E7</v>
      </c>
      <c r="U169" s="8">
        <v>3.12133E7</v>
      </c>
      <c r="V169" s="23">
        <v>45792.0</v>
      </c>
      <c r="W169" s="32">
        <f t="shared" si="5"/>
        <v>45972</v>
      </c>
      <c r="X169" s="8" t="s">
        <v>63</v>
      </c>
      <c r="Y169" s="7" t="str">
        <f t="shared" si="2"/>
        <v>Expired</v>
      </c>
      <c r="Z169" s="8">
        <f t="shared" si="3"/>
        <v>0</v>
      </c>
      <c r="AA169" s="24"/>
      <c r="AB169" s="8" t="s">
        <v>1056</v>
      </c>
      <c r="AC169" s="8" t="s">
        <v>1057</v>
      </c>
      <c r="AD169" s="8"/>
      <c r="AE169" s="8"/>
      <c r="AF169" s="8"/>
      <c r="AG169" s="8"/>
      <c r="AH169" s="8"/>
      <c r="AI169" s="8">
        <v>4.4801356E7</v>
      </c>
      <c r="AJ169" s="8">
        <v>3.12133E7</v>
      </c>
      <c r="AK169" s="24"/>
      <c r="AL169" s="7"/>
      <c r="AM169" s="22"/>
    </row>
    <row r="170" ht="22.5" hidden="1" customHeight="1">
      <c r="A170" s="26"/>
      <c r="B170" s="13" t="s">
        <v>1058</v>
      </c>
      <c r="C170" s="13" t="s">
        <v>230</v>
      </c>
      <c r="D170" s="19">
        <v>9.865388655E9</v>
      </c>
      <c r="E170" s="13" t="s">
        <v>1043</v>
      </c>
      <c r="F170" s="8" t="s">
        <v>42</v>
      </c>
      <c r="G170" s="13" t="s">
        <v>103</v>
      </c>
      <c r="H170" s="13" t="s">
        <v>1044</v>
      </c>
      <c r="I170" s="19" t="s">
        <v>45</v>
      </c>
      <c r="J170" s="19"/>
      <c r="K170" s="19"/>
      <c r="L170" s="19"/>
      <c r="M170" s="13">
        <v>3315.0</v>
      </c>
      <c r="N170" s="13"/>
      <c r="O170" s="13"/>
      <c r="P170" s="13"/>
      <c r="Q170" s="13" t="s">
        <v>48</v>
      </c>
      <c r="R170" s="52" t="s">
        <v>1059</v>
      </c>
      <c r="S170" s="13"/>
      <c r="T170" s="13">
        <v>3.3622456E7</v>
      </c>
      <c r="U170" s="13">
        <v>9.9691807E7</v>
      </c>
      <c r="V170" s="25">
        <v>45792.0</v>
      </c>
      <c r="W170" s="32">
        <f t="shared" si="5"/>
        <v>45972</v>
      </c>
      <c r="X170" s="13" t="s">
        <v>63</v>
      </c>
      <c r="Y170" s="7" t="str">
        <f t="shared" si="2"/>
        <v>Expired</v>
      </c>
      <c r="Z170" s="8">
        <f t="shared" si="3"/>
        <v>0</v>
      </c>
      <c r="AA170" s="37"/>
      <c r="AB170" s="13" t="s">
        <v>1060</v>
      </c>
      <c r="AC170" s="13" t="s">
        <v>1061</v>
      </c>
      <c r="AD170" s="13"/>
      <c r="AE170" s="13"/>
      <c r="AF170" s="13"/>
      <c r="AG170" s="13"/>
      <c r="AH170" s="13"/>
      <c r="AI170" s="13">
        <v>3.3622456E7</v>
      </c>
      <c r="AJ170" s="13">
        <v>9.9691807E7</v>
      </c>
      <c r="AK170" s="37"/>
      <c r="AL170" s="26"/>
      <c r="AM170" s="46"/>
    </row>
    <row r="171" ht="22.5" customHeight="1">
      <c r="A171" s="7"/>
      <c r="B171" s="8" t="s">
        <v>1062</v>
      </c>
      <c r="C171" s="8" t="s">
        <v>40</v>
      </c>
      <c r="D171" s="9">
        <v>9.851021802E9</v>
      </c>
      <c r="E171" s="8" t="s">
        <v>1063</v>
      </c>
      <c r="F171" s="8" t="s">
        <v>42</v>
      </c>
      <c r="G171" s="8" t="s">
        <v>103</v>
      </c>
      <c r="H171" s="8" t="s">
        <v>1064</v>
      </c>
      <c r="I171" s="9" t="s">
        <v>968</v>
      </c>
      <c r="J171" s="9"/>
      <c r="K171" s="9" t="s">
        <v>235</v>
      </c>
      <c r="L171" s="9" t="s">
        <v>236</v>
      </c>
      <c r="M171" s="8">
        <v>2792.0</v>
      </c>
      <c r="N171" s="8"/>
      <c r="O171" s="8"/>
      <c r="P171" s="8"/>
      <c r="Q171" s="8" t="s">
        <v>48</v>
      </c>
      <c r="R171" s="8" t="s">
        <v>1065</v>
      </c>
      <c r="S171" s="8"/>
      <c r="T171" s="8">
        <v>1.8701592E7</v>
      </c>
      <c r="U171" s="8">
        <v>4.3161421E7</v>
      </c>
      <c r="V171" s="7">
        <v>46017.0</v>
      </c>
      <c r="W171" s="12">
        <f t="shared" si="5"/>
        <v>46047</v>
      </c>
      <c r="X171" s="8" t="s">
        <v>215</v>
      </c>
      <c r="Y171" s="7" t="str">
        <f t="shared" si="2"/>
        <v>Expired</v>
      </c>
      <c r="Z171" s="8">
        <f t="shared" si="3"/>
        <v>0</v>
      </c>
      <c r="AA171" s="7"/>
      <c r="AB171" s="8" t="s">
        <v>1066</v>
      </c>
      <c r="AC171" s="8" t="s">
        <v>1067</v>
      </c>
      <c r="AD171" s="8"/>
      <c r="AE171" s="8"/>
      <c r="AF171" s="8"/>
      <c r="AG171" s="8"/>
      <c r="AH171" s="8"/>
      <c r="AI171" s="8"/>
      <c r="AJ171" s="8"/>
      <c r="AK171" s="24"/>
      <c r="AL171" s="7"/>
      <c r="AM171" s="22"/>
    </row>
    <row r="172" ht="22.5" customHeight="1">
      <c r="A172" s="7"/>
      <c r="B172" s="8" t="s">
        <v>208</v>
      </c>
      <c r="C172" s="8" t="s">
        <v>195</v>
      </c>
      <c r="D172" s="9">
        <v>9.955084555E9</v>
      </c>
      <c r="E172" s="8" t="s">
        <v>1068</v>
      </c>
      <c r="F172" s="8" t="s">
        <v>42</v>
      </c>
      <c r="G172" s="8" t="s">
        <v>103</v>
      </c>
      <c r="H172" s="8" t="s">
        <v>1069</v>
      </c>
      <c r="I172" s="9" t="s">
        <v>968</v>
      </c>
      <c r="J172" s="9"/>
      <c r="K172" s="9" t="s">
        <v>211</v>
      </c>
      <c r="L172" s="9" t="s">
        <v>1070</v>
      </c>
      <c r="M172" s="8">
        <v>410.0</v>
      </c>
      <c r="N172" s="8"/>
      <c r="O172" s="8"/>
      <c r="P172" s="8"/>
      <c r="Q172" s="8" t="s">
        <v>48</v>
      </c>
      <c r="R172" s="13" t="s">
        <v>1071</v>
      </c>
      <c r="S172" s="8">
        <v>9.760843837E9</v>
      </c>
      <c r="T172" s="8">
        <v>2.1784663E7</v>
      </c>
      <c r="U172" s="8">
        <v>9.7352063E7</v>
      </c>
      <c r="V172" s="23">
        <v>45996.0</v>
      </c>
      <c r="W172" s="32">
        <f t="shared" si="5"/>
        <v>46361</v>
      </c>
      <c r="X172" s="13" t="s">
        <v>76</v>
      </c>
      <c r="Y172" s="7" t="str">
        <f t="shared" si="2"/>
        <v>Active</v>
      </c>
      <c r="Z172" s="8">
        <f t="shared" si="3"/>
        <v>246</v>
      </c>
      <c r="AA172" s="26">
        <f>V172+180</f>
        <v>46176</v>
      </c>
      <c r="AB172" s="8" t="s">
        <v>1072</v>
      </c>
      <c r="AC172" s="8">
        <v>9.855084555E9</v>
      </c>
      <c r="AD172" s="8"/>
      <c r="AE172" s="8"/>
      <c r="AF172" s="8"/>
      <c r="AG172" s="8"/>
      <c r="AH172" s="8"/>
      <c r="AI172" s="8"/>
      <c r="AJ172" s="8"/>
      <c r="AK172" s="24"/>
      <c r="AL172" s="7"/>
      <c r="AM172" s="22"/>
    </row>
    <row r="173" ht="22.5" customHeight="1">
      <c r="A173" s="26"/>
      <c r="B173" s="13" t="s">
        <v>118</v>
      </c>
      <c r="C173" s="13" t="s">
        <v>119</v>
      </c>
      <c r="D173" s="19"/>
      <c r="E173" s="13" t="s">
        <v>1073</v>
      </c>
      <c r="F173" s="8" t="s">
        <v>42</v>
      </c>
      <c r="G173" s="13" t="s">
        <v>103</v>
      </c>
      <c r="H173" s="13" t="s">
        <v>438</v>
      </c>
      <c r="I173" s="19" t="s">
        <v>45</v>
      </c>
      <c r="J173" s="19"/>
      <c r="K173" s="9">
        <v>9.842025706E9</v>
      </c>
      <c r="L173" s="9" t="s">
        <v>122</v>
      </c>
      <c r="M173" s="8">
        <v>1937.0</v>
      </c>
      <c r="N173" s="13"/>
      <c r="O173" s="13"/>
      <c r="P173" s="13"/>
      <c r="Q173" s="13" t="s">
        <v>48</v>
      </c>
      <c r="R173" s="35" t="s">
        <v>1074</v>
      </c>
      <c r="S173" s="13">
        <v>9.760837591E9</v>
      </c>
      <c r="T173" s="13">
        <v>2.8627874E7</v>
      </c>
      <c r="U173" s="13"/>
      <c r="V173" s="25">
        <v>45804.0</v>
      </c>
      <c r="W173" s="32">
        <f t="shared" si="5"/>
        <v>46169</v>
      </c>
      <c r="X173" s="13" t="s">
        <v>76</v>
      </c>
      <c r="Y173" s="7" t="str">
        <f t="shared" si="2"/>
        <v>Active</v>
      </c>
      <c r="Z173" s="8">
        <f t="shared" si="3"/>
        <v>54</v>
      </c>
      <c r="AA173" s="26">
        <v>45984.0</v>
      </c>
      <c r="AB173" s="13" t="s">
        <v>126</v>
      </c>
      <c r="AC173" s="13"/>
      <c r="AD173" s="13"/>
      <c r="AE173" s="13"/>
      <c r="AF173" s="13"/>
      <c r="AG173" s="13"/>
      <c r="AH173" s="13"/>
      <c r="AI173" s="13"/>
      <c r="AJ173" s="13"/>
      <c r="AK173" s="37"/>
      <c r="AL173" s="26"/>
      <c r="AM173" s="46"/>
    </row>
    <row r="174" ht="22.5" customHeight="1">
      <c r="A174" s="7"/>
      <c r="B174" s="8" t="s">
        <v>1075</v>
      </c>
      <c r="C174" s="8" t="s">
        <v>40</v>
      </c>
      <c r="D174" s="9">
        <v>9.8600996E9</v>
      </c>
      <c r="E174" s="8" t="s">
        <v>1076</v>
      </c>
      <c r="F174" s="8" t="s">
        <v>42</v>
      </c>
      <c r="G174" s="8" t="s">
        <v>103</v>
      </c>
      <c r="H174" s="8" t="s">
        <v>232</v>
      </c>
      <c r="I174" s="9" t="s">
        <v>221</v>
      </c>
      <c r="J174" s="9"/>
      <c r="K174" s="9">
        <v>9.8600996E9</v>
      </c>
      <c r="L174" s="9" t="s">
        <v>1077</v>
      </c>
      <c r="M174" s="8">
        <v>6589.0</v>
      </c>
      <c r="N174" s="8" t="s">
        <v>1078</v>
      </c>
      <c r="O174" s="8" t="s">
        <v>1079</v>
      </c>
      <c r="P174" s="8"/>
      <c r="Q174" s="8" t="s">
        <v>48</v>
      </c>
      <c r="R174" s="55"/>
      <c r="S174" s="8">
        <v>9.760835098E9</v>
      </c>
      <c r="T174" s="8"/>
      <c r="U174" s="8"/>
      <c r="V174" s="23"/>
      <c r="W174" s="27" t="str">
        <f t="shared" si="5"/>
        <v/>
      </c>
      <c r="X174" s="8"/>
      <c r="Y174" s="7" t="str">
        <f t="shared" si="2"/>
        <v>Expired</v>
      </c>
      <c r="Z174" s="8">
        <f t="shared" si="3"/>
        <v>0</v>
      </c>
      <c r="AA174" s="24"/>
      <c r="AB174" s="8" t="s">
        <v>1080</v>
      </c>
      <c r="AC174" s="8"/>
      <c r="AD174" s="8"/>
      <c r="AE174" s="8"/>
      <c r="AF174" s="8"/>
      <c r="AG174" s="8"/>
      <c r="AH174" s="8"/>
      <c r="AI174" s="8"/>
      <c r="AJ174" s="8"/>
      <c r="AK174" s="24"/>
      <c r="AL174" s="7"/>
      <c r="AM174" s="22"/>
    </row>
    <row r="175" ht="22.5" customHeight="1">
      <c r="A175" s="7"/>
      <c r="B175" s="8" t="s">
        <v>1081</v>
      </c>
      <c r="C175" s="8" t="s">
        <v>905</v>
      </c>
      <c r="D175" s="9">
        <v>9.819606588E9</v>
      </c>
      <c r="E175" s="8" t="s">
        <v>1082</v>
      </c>
      <c r="F175" s="8" t="s">
        <v>42</v>
      </c>
      <c r="G175" s="8" t="s">
        <v>1012</v>
      </c>
      <c r="H175" s="8" t="s">
        <v>907</v>
      </c>
      <c r="I175" s="9" t="s">
        <v>221</v>
      </c>
      <c r="J175" s="9"/>
      <c r="K175" s="9"/>
      <c r="L175" s="9"/>
      <c r="M175" s="8">
        <v>8606.0</v>
      </c>
      <c r="N175" s="8"/>
      <c r="O175" s="8"/>
      <c r="P175" s="8"/>
      <c r="Q175" s="8" t="s">
        <v>48</v>
      </c>
      <c r="R175" s="51" t="s">
        <v>1083</v>
      </c>
      <c r="S175" s="8">
        <v>9.760839501E9</v>
      </c>
      <c r="T175" s="8">
        <v>3.3891958E7</v>
      </c>
      <c r="U175" s="8">
        <v>3.1741221E7</v>
      </c>
      <c r="V175" s="23">
        <v>45814.0</v>
      </c>
      <c r="W175" s="32">
        <f t="shared" si="5"/>
        <v>45994</v>
      </c>
      <c r="X175" s="8" t="s">
        <v>63</v>
      </c>
      <c r="Y175" s="7" t="str">
        <f t="shared" si="2"/>
        <v>Expired</v>
      </c>
      <c r="Z175" s="8">
        <f t="shared" si="3"/>
        <v>0</v>
      </c>
      <c r="AA175" s="7">
        <v>45994.0</v>
      </c>
      <c r="AB175" s="8" t="s">
        <v>1084</v>
      </c>
      <c r="AC175" s="8">
        <v>8.6068606E7</v>
      </c>
      <c r="AD175" s="8"/>
      <c r="AE175" s="8"/>
      <c r="AF175" s="8"/>
      <c r="AG175" s="8"/>
      <c r="AH175" s="8">
        <v>9.819606588E9</v>
      </c>
      <c r="AI175" s="8"/>
      <c r="AJ175" s="8"/>
      <c r="AK175" s="24"/>
      <c r="AL175" s="7"/>
      <c r="AM175" s="22"/>
    </row>
    <row r="176" ht="22.5" customHeight="1">
      <c r="A176" s="7"/>
      <c r="B176" s="8" t="s">
        <v>1085</v>
      </c>
      <c r="C176" s="8" t="s">
        <v>40</v>
      </c>
      <c r="D176" s="9">
        <v>9.708096947E9</v>
      </c>
      <c r="E176" s="8" t="s">
        <v>1086</v>
      </c>
      <c r="F176" s="8" t="s">
        <v>42</v>
      </c>
      <c r="G176" s="8" t="s">
        <v>103</v>
      </c>
      <c r="H176" s="8" t="s">
        <v>907</v>
      </c>
      <c r="I176" s="9" t="s">
        <v>45</v>
      </c>
      <c r="J176" s="9"/>
      <c r="K176" s="9">
        <v>9.800892082E9</v>
      </c>
      <c r="L176" s="9" t="s">
        <v>1087</v>
      </c>
      <c r="M176" s="8">
        <v>8634.0</v>
      </c>
      <c r="N176" s="8" t="s">
        <v>1088</v>
      </c>
      <c r="O176" s="8" t="s">
        <v>1089</v>
      </c>
      <c r="P176" s="8"/>
      <c r="Q176" s="8" t="s">
        <v>48</v>
      </c>
      <c r="R176" s="31" t="s">
        <v>1090</v>
      </c>
      <c r="S176" s="8">
        <v>9.760839467E9</v>
      </c>
      <c r="T176" s="8">
        <v>1.0072826E7</v>
      </c>
      <c r="U176" s="8">
        <v>1.1618322E7</v>
      </c>
      <c r="V176" s="23">
        <v>45814.0</v>
      </c>
      <c r="W176" s="32">
        <f t="shared" si="5"/>
        <v>46179</v>
      </c>
      <c r="X176" s="8" t="s">
        <v>76</v>
      </c>
      <c r="Y176" s="7" t="str">
        <f t="shared" si="2"/>
        <v>Active</v>
      </c>
      <c r="Z176" s="8">
        <f t="shared" si="3"/>
        <v>64</v>
      </c>
      <c r="AA176" s="7">
        <v>46176.0</v>
      </c>
      <c r="AB176" s="8" t="s">
        <v>1091</v>
      </c>
      <c r="AC176" s="8" t="s">
        <v>1092</v>
      </c>
      <c r="AD176" s="8"/>
      <c r="AE176" s="8"/>
      <c r="AF176" s="8"/>
      <c r="AG176" s="8"/>
      <c r="AH176" s="8"/>
      <c r="AI176" s="8"/>
      <c r="AJ176" s="8"/>
      <c r="AK176" s="24"/>
      <c r="AL176" s="7"/>
      <c r="AM176" s="22"/>
    </row>
    <row r="177" ht="22.5" customHeight="1">
      <c r="A177" s="7"/>
      <c r="B177" s="8" t="s">
        <v>1085</v>
      </c>
      <c r="C177" s="8" t="s">
        <v>40</v>
      </c>
      <c r="D177" s="9">
        <v>9.708096947E9</v>
      </c>
      <c r="E177" s="8" t="s">
        <v>1093</v>
      </c>
      <c r="F177" s="8" t="s">
        <v>42</v>
      </c>
      <c r="G177" s="8" t="s">
        <v>103</v>
      </c>
      <c r="H177" s="8" t="s">
        <v>907</v>
      </c>
      <c r="I177" s="9" t="s">
        <v>45</v>
      </c>
      <c r="J177" s="9"/>
      <c r="K177" s="9">
        <v>9.800892082E9</v>
      </c>
      <c r="L177" s="9" t="s">
        <v>1087</v>
      </c>
      <c r="M177" s="8">
        <v>8635.0</v>
      </c>
      <c r="N177" s="8"/>
      <c r="O177" s="8"/>
      <c r="P177" s="8"/>
      <c r="Q177" s="8" t="s">
        <v>48</v>
      </c>
      <c r="R177" s="51" t="s">
        <v>1094</v>
      </c>
      <c r="S177" s="8"/>
      <c r="T177" s="8">
        <v>8.248137E7</v>
      </c>
      <c r="U177" s="8">
        <v>1.1576173E7</v>
      </c>
      <c r="V177" s="23">
        <v>45814.0</v>
      </c>
      <c r="W177" s="32">
        <f t="shared" si="5"/>
        <v>46179</v>
      </c>
      <c r="X177" s="8" t="s">
        <v>76</v>
      </c>
      <c r="Y177" s="7" t="str">
        <f t="shared" si="2"/>
        <v>Active</v>
      </c>
      <c r="Z177" s="8">
        <f t="shared" si="3"/>
        <v>64</v>
      </c>
      <c r="AA177" s="7">
        <v>46176.0</v>
      </c>
      <c r="AB177" s="8" t="s">
        <v>1095</v>
      </c>
      <c r="AC177" s="8" t="s">
        <v>1096</v>
      </c>
      <c r="AD177" s="8"/>
      <c r="AE177" s="8"/>
      <c r="AF177" s="8"/>
      <c r="AG177" s="8"/>
      <c r="AH177" s="8"/>
      <c r="AI177" s="8"/>
      <c r="AJ177" s="8"/>
      <c r="AK177" s="24"/>
      <c r="AL177" s="7"/>
      <c r="AM177" s="22"/>
    </row>
    <row r="178" ht="22.5" customHeight="1">
      <c r="A178" s="26"/>
      <c r="B178" s="13" t="s">
        <v>1097</v>
      </c>
      <c r="C178" s="13" t="s">
        <v>40</v>
      </c>
      <c r="D178" s="19">
        <v>9.849328621E9</v>
      </c>
      <c r="E178" s="13" t="s">
        <v>1098</v>
      </c>
      <c r="F178" s="8" t="s">
        <v>42</v>
      </c>
      <c r="G178" s="13" t="s">
        <v>103</v>
      </c>
      <c r="H178" s="13" t="s">
        <v>715</v>
      </c>
      <c r="I178" s="19" t="s">
        <v>45</v>
      </c>
      <c r="J178" s="19"/>
      <c r="K178" s="19">
        <v>9.849328621E9</v>
      </c>
      <c r="L178" s="19" t="s">
        <v>133</v>
      </c>
      <c r="M178" s="13">
        <v>3836.0</v>
      </c>
      <c r="N178" s="13"/>
      <c r="O178" s="13"/>
      <c r="P178" s="13"/>
      <c r="Q178" s="13" t="s">
        <v>48</v>
      </c>
      <c r="R178" s="35" t="s">
        <v>1099</v>
      </c>
      <c r="S178" s="13">
        <v>9.760844059E9</v>
      </c>
      <c r="T178" s="13">
        <v>6.0822772E7</v>
      </c>
      <c r="U178" s="13">
        <v>5.7528728E7</v>
      </c>
      <c r="V178" s="25">
        <v>46091.0</v>
      </c>
      <c r="W178" s="32">
        <f t="shared" si="5"/>
        <v>46121</v>
      </c>
      <c r="X178" s="13" t="s">
        <v>137</v>
      </c>
      <c r="Y178" s="7" t="str">
        <f t="shared" si="2"/>
        <v>Active</v>
      </c>
      <c r="Z178" s="8">
        <f t="shared" si="3"/>
        <v>6</v>
      </c>
      <c r="AA178" s="26">
        <v>46171.0</v>
      </c>
      <c r="AB178" s="13" t="s">
        <v>1100</v>
      </c>
      <c r="AC178" s="13" t="s">
        <v>1101</v>
      </c>
      <c r="AD178" s="13"/>
      <c r="AE178" s="13"/>
      <c r="AF178" s="13"/>
      <c r="AG178" s="13"/>
      <c r="AH178" s="13"/>
      <c r="AI178" s="13"/>
      <c r="AJ178" s="13"/>
      <c r="AK178" s="37"/>
      <c r="AL178" s="26"/>
      <c r="AM178" s="46"/>
    </row>
    <row r="179" ht="22.5" customHeight="1">
      <c r="A179" s="26"/>
      <c r="B179" s="13" t="s">
        <v>1102</v>
      </c>
      <c r="C179" s="13" t="s">
        <v>230</v>
      </c>
      <c r="D179" s="19">
        <v>9.814875375E9</v>
      </c>
      <c r="E179" s="13" t="s">
        <v>247</v>
      </c>
      <c r="F179" s="8" t="s">
        <v>42</v>
      </c>
      <c r="G179" s="13" t="s">
        <v>103</v>
      </c>
      <c r="H179" s="13" t="s">
        <v>1103</v>
      </c>
      <c r="I179" s="19" t="s">
        <v>234</v>
      </c>
      <c r="J179" s="19"/>
      <c r="K179" s="19" t="s">
        <v>235</v>
      </c>
      <c r="L179" s="19" t="s">
        <v>236</v>
      </c>
      <c r="M179" s="13">
        <v>3808.0</v>
      </c>
      <c r="N179" s="13" t="s">
        <v>1104</v>
      </c>
      <c r="O179" s="13" t="s">
        <v>1105</v>
      </c>
      <c r="P179" s="13"/>
      <c r="Q179" s="13" t="s">
        <v>48</v>
      </c>
      <c r="S179" s="13">
        <v>9.760843597E9</v>
      </c>
      <c r="T179" s="13">
        <v>9.8312279E7</v>
      </c>
      <c r="U179" s="13"/>
      <c r="V179" s="25">
        <v>46054.0</v>
      </c>
      <c r="W179" s="32">
        <f t="shared" si="5"/>
        <v>46084</v>
      </c>
      <c r="X179" s="13" t="s">
        <v>215</v>
      </c>
      <c r="Y179" s="7" t="str">
        <f t="shared" si="2"/>
        <v>Expired</v>
      </c>
      <c r="Z179" s="8">
        <f t="shared" si="3"/>
        <v>0</v>
      </c>
      <c r="AA179" s="26">
        <v>46116.0</v>
      </c>
      <c r="AB179" s="13" t="s">
        <v>1106</v>
      </c>
      <c r="AC179" s="13">
        <v>9.814875375E9</v>
      </c>
      <c r="AD179" s="13"/>
      <c r="AE179" s="13"/>
      <c r="AF179" s="13"/>
      <c r="AG179" s="13"/>
      <c r="AH179" s="13"/>
      <c r="AI179" s="13"/>
      <c r="AJ179" s="13"/>
      <c r="AK179" s="37"/>
      <c r="AL179" s="26"/>
      <c r="AM179" s="46"/>
    </row>
    <row r="180" ht="22.5" customHeight="1">
      <c r="A180" s="26"/>
      <c r="B180" s="13" t="s">
        <v>1107</v>
      </c>
      <c r="C180" s="13" t="s">
        <v>230</v>
      </c>
      <c r="D180" s="19">
        <v>9.807821092E9</v>
      </c>
      <c r="E180" s="13" t="s">
        <v>1108</v>
      </c>
      <c r="F180" s="8" t="s">
        <v>42</v>
      </c>
      <c r="G180" s="13" t="s">
        <v>103</v>
      </c>
      <c r="H180" s="13" t="s">
        <v>1109</v>
      </c>
      <c r="I180" s="19" t="s">
        <v>234</v>
      </c>
      <c r="J180" s="19"/>
      <c r="K180" s="19">
        <v>9.807821092E9</v>
      </c>
      <c r="L180" s="19" t="s">
        <v>1110</v>
      </c>
      <c r="M180" s="13">
        <v>3809.0</v>
      </c>
      <c r="N180" s="13" t="s">
        <v>1111</v>
      </c>
      <c r="O180" s="13" t="s">
        <v>1112</v>
      </c>
      <c r="P180" s="13"/>
      <c r="Q180" s="13" t="s">
        <v>48</v>
      </c>
      <c r="R180" s="35" t="s">
        <v>1113</v>
      </c>
      <c r="S180" s="13"/>
      <c r="T180" s="13">
        <v>1.3584119E7</v>
      </c>
      <c r="U180" s="13"/>
      <c r="V180" s="25"/>
      <c r="W180" s="27" t="str">
        <f t="shared" si="5"/>
        <v/>
      </c>
      <c r="X180" s="13" t="s">
        <v>215</v>
      </c>
      <c r="Y180" s="7" t="str">
        <f t="shared" si="2"/>
        <v>Expired</v>
      </c>
      <c r="Z180" s="8">
        <f t="shared" si="3"/>
        <v>0</v>
      </c>
      <c r="AA180" s="37"/>
      <c r="AB180" s="13" t="s">
        <v>1114</v>
      </c>
      <c r="AC180" s="13">
        <v>9.807821092E9</v>
      </c>
      <c r="AD180" s="13"/>
      <c r="AE180" s="13"/>
      <c r="AF180" s="13"/>
      <c r="AG180" s="13"/>
      <c r="AH180" s="13"/>
      <c r="AI180" s="13"/>
      <c r="AJ180" s="13"/>
      <c r="AK180" s="37"/>
      <c r="AL180" s="26"/>
      <c r="AM180" s="46"/>
    </row>
    <row r="181" ht="22.5" customHeight="1">
      <c r="A181" s="7"/>
      <c r="B181" s="8" t="s">
        <v>1115</v>
      </c>
      <c r="C181" s="8" t="s">
        <v>850</v>
      </c>
      <c r="D181" s="9">
        <v>9.817042284E9</v>
      </c>
      <c r="E181" s="8" t="s">
        <v>1116</v>
      </c>
      <c r="F181" s="8" t="s">
        <v>42</v>
      </c>
      <c r="G181" s="8" t="s">
        <v>103</v>
      </c>
      <c r="H181" s="8" t="s">
        <v>715</v>
      </c>
      <c r="I181" s="9" t="s">
        <v>45</v>
      </c>
      <c r="J181" s="9"/>
      <c r="K181" s="9">
        <v>9.817042284E9</v>
      </c>
      <c r="L181" s="9" t="s">
        <v>277</v>
      </c>
      <c r="M181" s="8">
        <v>946.0</v>
      </c>
      <c r="N181" s="8"/>
      <c r="O181" s="8"/>
      <c r="P181" s="8"/>
      <c r="Q181" s="8" t="s">
        <v>48</v>
      </c>
      <c r="R181" s="55" t="s">
        <v>1117</v>
      </c>
      <c r="S181" s="13">
        <v>9.760845117E9</v>
      </c>
      <c r="T181" s="13">
        <v>1.7626148E7</v>
      </c>
      <c r="U181" s="13">
        <v>1.0160888E7</v>
      </c>
      <c r="V181" s="23">
        <v>46007.0</v>
      </c>
      <c r="W181" s="32">
        <f t="shared" si="5"/>
        <v>46187</v>
      </c>
      <c r="X181" s="8" t="s">
        <v>63</v>
      </c>
      <c r="Y181" s="7" t="str">
        <f t="shared" si="2"/>
        <v>Active</v>
      </c>
      <c r="Z181" s="8">
        <f t="shared" si="3"/>
        <v>72</v>
      </c>
      <c r="AA181" s="7">
        <v>46145.0</v>
      </c>
      <c r="AB181" s="8" t="s">
        <v>1118</v>
      </c>
      <c r="AC181" s="8">
        <v>9460947.0</v>
      </c>
      <c r="AD181" s="8"/>
      <c r="AE181" s="8"/>
      <c r="AF181" s="8"/>
      <c r="AG181" s="8"/>
      <c r="AH181" s="8"/>
      <c r="AI181" s="8"/>
      <c r="AJ181" s="8"/>
      <c r="AK181" s="24"/>
      <c r="AL181" s="7"/>
      <c r="AM181" s="22"/>
    </row>
    <row r="182" ht="22.5" customHeight="1">
      <c r="A182" s="26"/>
      <c r="B182" s="13" t="s">
        <v>1119</v>
      </c>
      <c r="C182" s="13" t="s">
        <v>260</v>
      </c>
      <c r="D182" s="19"/>
      <c r="E182" s="13" t="s">
        <v>1120</v>
      </c>
      <c r="F182" s="8" t="s">
        <v>42</v>
      </c>
      <c r="G182" s="13" t="s">
        <v>103</v>
      </c>
      <c r="H182" s="13" t="s">
        <v>262</v>
      </c>
      <c r="I182" s="19" t="s">
        <v>45</v>
      </c>
      <c r="J182" s="19"/>
      <c r="K182" s="19">
        <v>9.851046607E9</v>
      </c>
      <c r="L182" s="19" t="s">
        <v>1121</v>
      </c>
      <c r="M182" s="13">
        <v>9579.0</v>
      </c>
      <c r="N182" s="13" t="s">
        <v>1122</v>
      </c>
      <c r="O182" s="13" t="s">
        <v>1123</v>
      </c>
      <c r="P182" s="13"/>
      <c r="Q182" s="13" t="s">
        <v>48</v>
      </c>
      <c r="R182" s="13"/>
      <c r="S182" s="13"/>
      <c r="T182" s="13"/>
      <c r="U182" s="13"/>
      <c r="V182" s="25">
        <v>45819.0</v>
      </c>
      <c r="W182" s="32">
        <f t="shared" si="5"/>
        <v>45999</v>
      </c>
      <c r="X182" s="8" t="s">
        <v>63</v>
      </c>
      <c r="Y182" s="7" t="str">
        <f t="shared" si="2"/>
        <v>Expired</v>
      </c>
      <c r="Z182" s="8">
        <f t="shared" si="3"/>
        <v>0</v>
      </c>
      <c r="AA182" s="37"/>
      <c r="AB182" s="13" t="s">
        <v>1124</v>
      </c>
      <c r="AC182" s="13" t="s">
        <v>1125</v>
      </c>
      <c r="AD182" s="13"/>
      <c r="AE182" s="13"/>
      <c r="AF182" s="13"/>
      <c r="AG182" s="13"/>
      <c r="AH182" s="13"/>
      <c r="AI182" s="13"/>
      <c r="AJ182" s="13"/>
      <c r="AK182" s="37"/>
      <c r="AL182" s="26"/>
      <c r="AM182" s="46"/>
    </row>
    <row r="183" ht="22.5" customHeight="1">
      <c r="A183" s="26"/>
      <c r="B183" s="13" t="s">
        <v>1115</v>
      </c>
      <c r="C183" s="13" t="s">
        <v>850</v>
      </c>
      <c r="D183" s="19">
        <v>9.817042284E9</v>
      </c>
      <c r="E183" s="13" t="s">
        <v>1116</v>
      </c>
      <c r="F183" s="8" t="s">
        <v>42</v>
      </c>
      <c r="G183" s="13" t="s">
        <v>103</v>
      </c>
      <c r="H183" s="13" t="s">
        <v>715</v>
      </c>
      <c r="I183" s="19" t="s">
        <v>45</v>
      </c>
      <c r="J183" s="19"/>
      <c r="K183" s="19">
        <v>9.817042284E9</v>
      </c>
      <c r="L183" s="19" t="s">
        <v>277</v>
      </c>
      <c r="M183" s="13">
        <v>947.0</v>
      </c>
      <c r="N183" s="13" t="s">
        <v>1126</v>
      </c>
      <c r="O183" s="13" t="s">
        <v>1127</v>
      </c>
      <c r="P183" s="13"/>
      <c r="Q183" s="13" t="s">
        <v>48</v>
      </c>
      <c r="R183" s="13"/>
      <c r="S183" s="13">
        <v>9.76083762E9</v>
      </c>
      <c r="T183" s="13">
        <v>2.4531542E7</v>
      </c>
      <c r="U183" s="13"/>
      <c r="V183" s="25">
        <v>46007.0</v>
      </c>
      <c r="W183" s="32">
        <f t="shared" si="5"/>
        <v>46187</v>
      </c>
      <c r="X183" s="8" t="s">
        <v>63</v>
      </c>
      <c r="Y183" s="7" t="str">
        <f t="shared" si="2"/>
        <v>Active</v>
      </c>
      <c r="Z183" s="8">
        <f t="shared" si="3"/>
        <v>72</v>
      </c>
      <c r="AA183" s="26">
        <f>V183+180</f>
        <v>46187</v>
      </c>
      <c r="AB183" s="13" t="s">
        <v>1128</v>
      </c>
      <c r="AC183" s="13">
        <v>9460947.0</v>
      </c>
      <c r="AD183" s="13"/>
      <c r="AE183" s="13"/>
      <c r="AF183" s="13"/>
      <c r="AG183" s="13"/>
      <c r="AH183" s="13"/>
      <c r="AI183" s="13"/>
      <c r="AJ183" s="13"/>
      <c r="AK183" s="37"/>
      <c r="AL183" s="26"/>
      <c r="AM183" s="46"/>
    </row>
    <row r="184" ht="22.5" customHeight="1">
      <c r="A184" s="7"/>
      <c r="B184" s="8" t="s">
        <v>1129</v>
      </c>
      <c r="C184" s="8" t="s">
        <v>40</v>
      </c>
      <c r="D184" s="9">
        <v>9.843365386E9</v>
      </c>
      <c r="E184" s="8"/>
      <c r="F184" s="8" t="s">
        <v>42</v>
      </c>
      <c r="G184" s="8" t="s">
        <v>1130</v>
      </c>
      <c r="H184" s="8"/>
      <c r="I184" s="9" t="s">
        <v>425</v>
      </c>
      <c r="J184" s="9"/>
      <c r="K184" s="9"/>
      <c r="L184" s="9"/>
      <c r="M184" s="8">
        <v>8584.0</v>
      </c>
      <c r="N184" s="8"/>
      <c r="O184" s="8"/>
      <c r="P184" s="8"/>
      <c r="Q184" s="8" t="s">
        <v>48</v>
      </c>
      <c r="R184" s="8"/>
      <c r="S184" s="8">
        <v>9.712011318E9</v>
      </c>
      <c r="T184" s="8"/>
      <c r="U184" s="8"/>
      <c r="V184" s="23">
        <v>45824.0</v>
      </c>
      <c r="W184" s="32">
        <f t="shared" si="5"/>
        <v>46189</v>
      </c>
      <c r="X184" s="8" t="s">
        <v>76</v>
      </c>
      <c r="Y184" s="7" t="str">
        <f t="shared" si="2"/>
        <v>Active</v>
      </c>
      <c r="Z184" s="8">
        <f t="shared" si="3"/>
        <v>74</v>
      </c>
      <c r="AA184" s="7">
        <v>46126.0</v>
      </c>
      <c r="AB184" s="8" t="s">
        <v>1131</v>
      </c>
      <c r="AC184" s="8" t="s">
        <v>1132</v>
      </c>
      <c r="AD184" s="8"/>
      <c r="AE184" s="8"/>
      <c r="AF184" s="8"/>
      <c r="AG184" s="8"/>
      <c r="AH184" s="8"/>
      <c r="AI184" s="8"/>
      <c r="AJ184" s="8"/>
      <c r="AK184" s="24">
        <v>0.4701388888888889</v>
      </c>
      <c r="AL184" s="7"/>
      <c r="AM184" s="22"/>
    </row>
    <row r="185" ht="22.5" customHeight="1">
      <c r="A185" s="7"/>
      <c r="B185" s="8" t="s">
        <v>1133</v>
      </c>
      <c r="C185" s="8" t="s">
        <v>260</v>
      </c>
      <c r="D185" s="9"/>
      <c r="E185" s="8" t="s">
        <v>1134</v>
      </c>
      <c r="F185" s="8" t="s">
        <v>42</v>
      </c>
      <c r="G185" s="8" t="s">
        <v>103</v>
      </c>
      <c r="H185" s="8" t="s">
        <v>262</v>
      </c>
      <c r="I185" s="9" t="s">
        <v>45</v>
      </c>
      <c r="J185" s="9"/>
      <c r="K185" s="9">
        <v>9.851046607E9</v>
      </c>
      <c r="L185" s="9" t="s">
        <v>1121</v>
      </c>
      <c r="M185" s="8">
        <v>9580.0</v>
      </c>
      <c r="N185" s="8" t="s">
        <v>1135</v>
      </c>
      <c r="O185" s="8" t="s">
        <v>1136</v>
      </c>
      <c r="P185" s="8"/>
      <c r="Q185" s="8" t="s">
        <v>48</v>
      </c>
      <c r="R185" s="8" t="s">
        <v>1137</v>
      </c>
      <c r="S185" s="8">
        <v>9.760839179E9</v>
      </c>
      <c r="T185" s="8">
        <v>2.1820303E7</v>
      </c>
      <c r="U185" s="8">
        <v>3.2548288E7</v>
      </c>
      <c r="V185" s="23">
        <v>45824.0</v>
      </c>
      <c r="W185" s="32">
        <f t="shared" si="5"/>
        <v>46004</v>
      </c>
      <c r="X185" s="8" t="s">
        <v>63</v>
      </c>
      <c r="Y185" s="7" t="str">
        <f t="shared" si="2"/>
        <v>Expired</v>
      </c>
      <c r="Z185" s="8">
        <f t="shared" si="3"/>
        <v>0</v>
      </c>
      <c r="AA185" s="7">
        <v>46004.0</v>
      </c>
      <c r="AB185" s="8" t="s">
        <v>1138</v>
      </c>
      <c r="AC185" s="8" t="s">
        <v>1139</v>
      </c>
      <c r="AD185" s="8"/>
      <c r="AE185" s="8"/>
      <c r="AF185" s="8"/>
      <c r="AG185" s="8"/>
      <c r="AH185" s="8"/>
      <c r="AI185" s="8"/>
      <c r="AJ185" s="8"/>
      <c r="AK185" s="24"/>
      <c r="AL185" s="7"/>
      <c r="AM185" s="22"/>
    </row>
    <row r="186" ht="22.5" customHeight="1">
      <c r="A186" s="26"/>
      <c r="B186" s="13" t="s">
        <v>1140</v>
      </c>
      <c r="C186" s="13" t="s">
        <v>40</v>
      </c>
      <c r="D186" s="19">
        <v>9.85100045E9</v>
      </c>
      <c r="E186" s="13" t="s">
        <v>1141</v>
      </c>
      <c r="F186" s="8" t="s">
        <v>42</v>
      </c>
      <c r="G186" s="13" t="s">
        <v>103</v>
      </c>
      <c r="H186" s="13" t="s">
        <v>715</v>
      </c>
      <c r="I186" s="19" t="s">
        <v>45</v>
      </c>
      <c r="J186" s="19"/>
      <c r="K186" s="19"/>
      <c r="L186" s="19"/>
      <c r="M186" s="13">
        <v>3455.0</v>
      </c>
      <c r="N186" s="13"/>
      <c r="O186" s="13"/>
      <c r="P186" s="13"/>
      <c r="Q186" s="13" t="s">
        <v>48</v>
      </c>
      <c r="R186" s="13" t="s">
        <v>1142</v>
      </c>
      <c r="S186" s="13">
        <v>9.760839519E9</v>
      </c>
      <c r="T186" s="13">
        <v>7.3392112E7</v>
      </c>
      <c r="U186" s="13">
        <v>1.8505249E7</v>
      </c>
      <c r="V186" s="25">
        <v>46060.0</v>
      </c>
      <c r="W186" s="32">
        <f t="shared" si="5"/>
        <v>46240</v>
      </c>
      <c r="X186" s="13" t="s">
        <v>63</v>
      </c>
      <c r="Y186" s="7" t="str">
        <f t="shared" si="2"/>
        <v>Active</v>
      </c>
      <c r="Z186" s="8">
        <f t="shared" si="3"/>
        <v>125</v>
      </c>
      <c r="AA186" s="37"/>
      <c r="AB186" s="13" t="s">
        <v>1143</v>
      </c>
      <c r="AC186" s="13" t="s">
        <v>1144</v>
      </c>
      <c r="AD186" s="13"/>
      <c r="AE186" s="13"/>
      <c r="AF186" s="13"/>
      <c r="AG186" s="13"/>
      <c r="AH186" s="13"/>
      <c r="AI186" s="13"/>
      <c r="AJ186" s="13"/>
      <c r="AK186" s="37"/>
      <c r="AL186" s="26"/>
      <c r="AM186" s="46"/>
    </row>
    <row r="187" ht="22.5" customHeight="1">
      <c r="A187" s="26"/>
      <c r="B187" s="13" t="s">
        <v>975</v>
      </c>
      <c r="C187" s="13" t="s">
        <v>965</v>
      </c>
      <c r="D187" s="19">
        <v>9.810435261E9</v>
      </c>
      <c r="E187" s="13" t="s">
        <v>447</v>
      </c>
      <c r="F187" s="8" t="s">
        <v>42</v>
      </c>
      <c r="G187" s="13" t="s">
        <v>103</v>
      </c>
      <c r="H187" s="13" t="s">
        <v>470</v>
      </c>
      <c r="I187" s="19" t="s">
        <v>471</v>
      </c>
      <c r="J187" s="19"/>
      <c r="K187" s="19">
        <v>9.810435261E9</v>
      </c>
      <c r="L187" s="19" t="s">
        <v>1145</v>
      </c>
      <c r="M187" s="13">
        <v>399.0</v>
      </c>
      <c r="N187" s="13" t="s">
        <v>1146</v>
      </c>
      <c r="O187" s="13" t="s">
        <v>1147</v>
      </c>
      <c r="P187" s="13"/>
      <c r="Q187" s="13" t="s">
        <v>48</v>
      </c>
      <c r="R187" s="13" t="s">
        <v>1148</v>
      </c>
      <c r="S187" s="13" t="s">
        <v>1149</v>
      </c>
      <c r="T187" s="13">
        <v>2.5416564E7</v>
      </c>
      <c r="U187" s="13">
        <v>7.2604176E7</v>
      </c>
      <c r="V187" s="25">
        <v>46015.0</v>
      </c>
      <c r="W187" s="32">
        <f t="shared" si="5"/>
        <v>46195</v>
      </c>
      <c r="X187" s="13" t="s">
        <v>63</v>
      </c>
      <c r="Y187" s="7" t="str">
        <f t="shared" si="2"/>
        <v>Active</v>
      </c>
      <c r="Z187" s="8">
        <f t="shared" si="3"/>
        <v>80</v>
      </c>
      <c r="AA187" s="7"/>
      <c r="AB187" s="13" t="s">
        <v>1150</v>
      </c>
      <c r="AC187" s="13" t="s">
        <v>1151</v>
      </c>
      <c r="AD187" s="13"/>
      <c r="AE187" s="13"/>
      <c r="AF187" s="13"/>
      <c r="AG187" s="13"/>
      <c r="AH187" s="13">
        <v>9.705020399E9</v>
      </c>
      <c r="AI187" s="13"/>
      <c r="AJ187" s="13"/>
      <c r="AK187" s="37"/>
      <c r="AL187" s="26"/>
      <c r="AM187" s="46"/>
    </row>
    <row r="188" ht="22.5" customHeight="1">
      <c r="A188" s="7"/>
      <c r="B188" s="8" t="s">
        <v>975</v>
      </c>
      <c r="C188" s="8" t="s">
        <v>965</v>
      </c>
      <c r="D188" s="9">
        <v>9.810435261E9</v>
      </c>
      <c r="E188" s="8" t="s">
        <v>447</v>
      </c>
      <c r="F188" s="8" t="s">
        <v>42</v>
      </c>
      <c r="G188" s="8" t="s">
        <v>103</v>
      </c>
      <c r="H188" s="8" t="s">
        <v>470</v>
      </c>
      <c r="I188" s="9" t="s">
        <v>471</v>
      </c>
      <c r="J188" s="9"/>
      <c r="K188" s="9">
        <v>9.810435261E9</v>
      </c>
      <c r="L188" s="9" t="s">
        <v>1145</v>
      </c>
      <c r="M188" s="8">
        <v>400.0</v>
      </c>
      <c r="N188" s="8" t="s">
        <v>1152</v>
      </c>
      <c r="O188" s="8"/>
      <c r="P188" s="8"/>
      <c r="Q188" s="8" t="s">
        <v>48</v>
      </c>
      <c r="R188" s="8" t="s">
        <v>1153</v>
      </c>
      <c r="S188" s="8">
        <v>9.760839335E9</v>
      </c>
      <c r="T188" s="8">
        <v>3.7138141E7</v>
      </c>
      <c r="U188" s="8">
        <v>2.3538185E7</v>
      </c>
      <c r="V188" s="23">
        <v>46014.0</v>
      </c>
      <c r="W188" s="32">
        <f t="shared" si="5"/>
        <v>46194</v>
      </c>
      <c r="X188" s="8" t="s">
        <v>63</v>
      </c>
      <c r="Y188" s="7" t="str">
        <f t="shared" si="2"/>
        <v>Active</v>
      </c>
      <c r="Z188" s="8">
        <f t="shared" si="3"/>
        <v>79</v>
      </c>
      <c r="AA188" s="7">
        <v>46194.0</v>
      </c>
      <c r="AB188" s="8" t="s">
        <v>1154</v>
      </c>
      <c r="AC188" s="8" t="s">
        <v>1155</v>
      </c>
      <c r="AD188" s="8"/>
      <c r="AE188" s="8"/>
      <c r="AF188" s="8"/>
      <c r="AG188" s="8"/>
      <c r="AH188" s="8">
        <v>9.7050304E9</v>
      </c>
      <c r="AI188" s="8"/>
      <c r="AJ188" s="8"/>
      <c r="AK188" s="24"/>
      <c r="AL188" s="7"/>
      <c r="AM188" s="22"/>
    </row>
    <row r="189" ht="22.5" customHeight="1">
      <c r="A189" s="7"/>
      <c r="B189" s="8" t="s">
        <v>1156</v>
      </c>
      <c r="C189" s="8" t="s">
        <v>850</v>
      </c>
      <c r="D189" s="13">
        <v>9.81490714E9</v>
      </c>
      <c r="E189" s="8" t="s">
        <v>1157</v>
      </c>
      <c r="F189" s="8" t="s">
        <v>42</v>
      </c>
      <c r="G189" s="8" t="s">
        <v>103</v>
      </c>
      <c r="H189" s="8" t="s">
        <v>715</v>
      </c>
      <c r="I189" s="9" t="s">
        <v>1158</v>
      </c>
      <c r="J189" s="9"/>
      <c r="K189" s="9">
        <v>9.84262544E9</v>
      </c>
      <c r="L189" s="9" t="s">
        <v>1159</v>
      </c>
      <c r="M189" s="8">
        <v>456.0</v>
      </c>
      <c r="N189" s="8" t="s">
        <v>1160</v>
      </c>
      <c r="O189" s="8" t="s">
        <v>1161</v>
      </c>
      <c r="P189" s="8"/>
      <c r="Q189" s="8" t="s">
        <v>48</v>
      </c>
      <c r="R189" s="8" t="s">
        <v>1162</v>
      </c>
      <c r="S189" s="17">
        <v>9.760843936E9</v>
      </c>
      <c r="T189" s="8">
        <v>2.5909299E7</v>
      </c>
      <c r="U189" s="8">
        <v>1.8063236E7</v>
      </c>
      <c r="V189" s="23">
        <v>45833.0</v>
      </c>
      <c r="W189" s="32">
        <f t="shared" si="5"/>
        <v>46198</v>
      </c>
      <c r="X189" s="8" t="s">
        <v>76</v>
      </c>
      <c r="Y189" s="7" t="str">
        <f t="shared" si="2"/>
        <v>Active</v>
      </c>
      <c r="Z189" s="8">
        <f t="shared" si="3"/>
        <v>83</v>
      </c>
      <c r="AA189" s="7">
        <v>46158.0</v>
      </c>
      <c r="AB189" s="8" t="s">
        <v>1163</v>
      </c>
      <c r="AC189" s="8" t="s">
        <v>1164</v>
      </c>
      <c r="AD189" s="8"/>
      <c r="AE189" s="8"/>
      <c r="AF189" s="8"/>
      <c r="AG189" s="8"/>
      <c r="AH189" s="8"/>
      <c r="AI189" s="8"/>
      <c r="AJ189" s="8"/>
      <c r="AK189" s="24"/>
      <c r="AL189" s="7"/>
      <c r="AM189" s="22"/>
    </row>
    <row r="190" ht="22.5" customHeight="1">
      <c r="A190" s="26"/>
      <c r="B190" s="13" t="s">
        <v>1165</v>
      </c>
      <c r="C190" s="13" t="s">
        <v>40</v>
      </c>
      <c r="D190" s="13">
        <v>9.860927456E9</v>
      </c>
      <c r="E190" s="13" t="s">
        <v>1166</v>
      </c>
      <c r="F190" s="8" t="s">
        <v>42</v>
      </c>
      <c r="G190" s="13" t="s">
        <v>103</v>
      </c>
      <c r="H190" s="13" t="s">
        <v>70</v>
      </c>
      <c r="I190" s="19" t="s">
        <v>45</v>
      </c>
      <c r="J190" s="19"/>
      <c r="K190" s="19" t="s">
        <v>1167</v>
      </c>
      <c r="L190" s="19" t="s">
        <v>1168</v>
      </c>
      <c r="M190" s="13">
        <v>147.0</v>
      </c>
      <c r="N190" s="13" t="s">
        <v>1169</v>
      </c>
      <c r="O190" s="13" t="s">
        <v>1170</v>
      </c>
      <c r="P190" s="13"/>
      <c r="Q190" s="13" t="s">
        <v>252</v>
      </c>
      <c r="R190" s="29"/>
      <c r="S190" s="30">
        <v>9.804186803E9</v>
      </c>
      <c r="T190" s="29"/>
      <c r="U190" s="29"/>
      <c r="V190" s="26">
        <v>46091.0</v>
      </c>
      <c r="W190" s="12">
        <f t="shared" si="5"/>
        <v>46119</v>
      </c>
      <c r="X190" s="13" t="s">
        <v>98</v>
      </c>
      <c r="Y190" s="7" t="str">
        <f t="shared" si="2"/>
        <v>Active</v>
      </c>
      <c r="Z190" s="8">
        <f t="shared" si="3"/>
        <v>4</v>
      </c>
      <c r="AA190" s="26">
        <f>V190+28</f>
        <v>46119</v>
      </c>
      <c r="AB190" s="13" t="s">
        <v>1171</v>
      </c>
      <c r="AC190" s="13" t="s">
        <v>1172</v>
      </c>
      <c r="AD190" s="13"/>
      <c r="AE190" s="13"/>
      <c r="AF190" s="13"/>
      <c r="AG190" s="13"/>
      <c r="AH190" s="13"/>
      <c r="AI190" s="13"/>
      <c r="AJ190" s="13"/>
      <c r="AK190" s="37"/>
      <c r="AL190" s="26"/>
      <c r="AM190" s="46"/>
    </row>
    <row r="191" ht="22.5" customHeight="1">
      <c r="A191" s="7"/>
      <c r="B191" s="8" t="s">
        <v>1173</v>
      </c>
      <c r="C191" s="8" t="s">
        <v>40</v>
      </c>
      <c r="D191" s="8">
        <v>9.766461283E9</v>
      </c>
      <c r="E191" s="8" t="s">
        <v>1174</v>
      </c>
      <c r="F191" s="8" t="s">
        <v>42</v>
      </c>
      <c r="G191" s="8" t="s">
        <v>103</v>
      </c>
      <c r="H191" s="8" t="s">
        <v>510</v>
      </c>
      <c r="I191" s="9" t="s">
        <v>425</v>
      </c>
      <c r="J191" s="9"/>
      <c r="K191" s="9" t="s">
        <v>1175</v>
      </c>
      <c r="L191" s="9" t="s">
        <v>1176</v>
      </c>
      <c r="M191" s="8">
        <v>9532.0</v>
      </c>
      <c r="N191" s="8" t="s">
        <v>1177</v>
      </c>
      <c r="O191" s="8" t="s">
        <v>1178</v>
      </c>
      <c r="P191" s="8"/>
      <c r="Q191" s="8" t="s">
        <v>48</v>
      </c>
      <c r="R191" s="8"/>
      <c r="S191" s="8">
        <v>9.703124896E9</v>
      </c>
      <c r="T191" s="8"/>
      <c r="U191" s="8"/>
      <c r="V191" s="23">
        <v>46078.0</v>
      </c>
      <c r="W191" s="32">
        <f t="shared" si="5"/>
        <v>46106</v>
      </c>
      <c r="X191" s="13" t="s">
        <v>98</v>
      </c>
      <c r="Y191" s="7" t="str">
        <f t="shared" si="2"/>
        <v>Expired</v>
      </c>
      <c r="Z191" s="8">
        <f t="shared" si="3"/>
        <v>0</v>
      </c>
      <c r="AA191" s="26">
        <f>V191+27</f>
        <v>46105</v>
      </c>
      <c r="AB191" s="8" t="s">
        <v>1179</v>
      </c>
      <c r="AC191" s="8" t="s">
        <v>1176</v>
      </c>
      <c r="AD191" s="8"/>
      <c r="AE191" s="8"/>
      <c r="AF191" s="8"/>
      <c r="AG191" s="8"/>
      <c r="AH191" s="8"/>
      <c r="AI191" s="8"/>
      <c r="AJ191" s="8"/>
      <c r="AK191" s="24"/>
      <c r="AL191" s="7"/>
      <c r="AM191" s="22"/>
    </row>
    <row r="192" ht="22.5" customHeight="1">
      <c r="A192" s="7"/>
      <c r="B192" s="8" t="s">
        <v>1180</v>
      </c>
      <c r="C192" s="8" t="s">
        <v>40</v>
      </c>
      <c r="D192" s="8">
        <v>9.841083499E9</v>
      </c>
      <c r="E192" s="8" t="s">
        <v>1181</v>
      </c>
      <c r="F192" s="8" t="s">
        <v>42</v>
      </c>
      <c r="G192" s="8" t="s">
        <v>103</v>
      </c>
      <c r="H192" s="8" t="s">
        <v>510</v>
      </c>
      <c r="I192" s="8" t="s">
        <v>425</v>
      </c>
      <c r="J192" s="8"/>
      <c r="K192" s="8">
        <v>9.841083499E9</v>
      </c>
      <c r="L192" s="9" t="s">
        <v>1182</v>
      </c>
      <c r="M192" s="8">
        <v>8235.0</v>
      </c>
      <c r="N192" s="8"/>
      <c r="O192" s="8"/>
      <c r="P192" s="8"/>
      <c r="Q192" s="8" t="s">
        <v>252</v>
      </c>
      <c r="R192" s="8"/>
      <c r="S192" s="8">
        <v>9.70299988E9</v>
      </c>
      <c r="T192" s="8"/>
      <c r="U192" s="8"/>
      <c r="V192" s="23">
        <v>46100.0</v>
      </c>
      <c r="W192" s="32">
        <f t="shared" si="5"/>
        <v>46128</v>
      </c>
      <c r="X192" s="8" t="s">
        <v>98</v>
      </c>
      <c r="Y192" s="7" t="str">
        <f t="shared" si="2"/>
        <v>Active</v>
      </c>
      <c r="Z192" s="8">
        <f t="shared" si="3"/>
        <v>13</v>
      </c>
      <c r="AA192" s="24"/>
      <c r="AB192" s="8" t="s">
        <v>1183</v>
      </c>
      <c r="AC192" s="8" t="s">
        <v>552</v>
      </c>
      <c r="AD192" s="8"/>
      <c r="AE192" s="8"/>
      <c r="AF192" s="8"/>
      <c r="AG192" s="8"/>
      <c r="AH192" s="8"/>
      <c r="AI192" s="8"/>
      <c r="AJ192" s="8"/>
      <c r="AK192" s="24"/>
      <c r="AL192" s="7"/>
      <c r="AM192" s="22"/>
    </row>
    <row r="193" ht="22.5" customHeight="1">
      <c r="A193" s="7"/>
      <c r="B193" s="8" t="s">
        <v>1180</v>
      </c>
      <c r="C193" s="8" t="s">
        <v>40</v>
      </c>
      <c r="D193" s="8">
        <v>9.841083499E9</v>
      </c>
      <c r="E193" s="8" t="s">
        <v>1181</v>
      </c>
      <c r="F193" s="8" t="s">
        <v>42</v>
      </c>
      <c r="G193" s="8" t="s">
        <v>103</v>
      </c>
      <c r="H193" s="8" t="s">
        <v>510</v>
      </c>
      <c r="I193" s="8" t="s">
        <v>425</v>
      </c>
      <c r="J193" s="8"/>
      <c r="K193" s="8">
        <v>9.841083499E9</v>
      </c>
      <c r="L193" s="9" t="s">
        <v>1184</v>
      </c>
      <c r="M193" s="8">
        <v>9055.0</v>
      </c>
      <c r="N193" s="8"/>
      <c r="O193" s="8"/>
      <c r="P193" s="8"/>
      <c r="Q193" s="8" t="s">
        <v>252</v>
      </c>
      <c r="R193" s="8"/>
      <c r="S193" s="8">
        <v>9.804188297E9</v>
      </c>
      <c r="T193" s="8"/>
      <c r="U193" s="8"/>
      <c r="V193" s="23">
        <v>46100.0</v>
      </c>
      <c r="W193" s="32">
        <f t="shared" si="5"/>
        <v>46128</v>
      </c>
      <c r="X193" s="8" t="s">
        <v>98</v>
      </c>
      <c r="Y193" s="7" t="str">
        <f t="shared" si="2"/>
        <v>Active</v>
      </c>
      <c r="Z193" s="8">
        <f t="shared" si="3"/>
        <v>13</v>
      </c>
      <c r="AA193" s="24"/>
      <c r="AB193" s="8" t="s">
        <v>1185</v>
      </c>
      <c r="AC193" s="8" t="s">
        <v>552</v>
      </c>
      <c r="AD193" s="8"/>
      <c r="AE193" s="8"/>
      <c r="AF193" s="8"/>
      <c r="AG193" s="8"/>
      <c r="AH193" s="8"/>
      <c r="AI193" s="8"/>
      <c r="AJ193" s="8"/>
      <c r="AK193" s="24"/>
      <c r="AL193" s="7"/>
      <c r="AM193" s="22"/>
    </row>
    <row r="194" ht="22.5" customHeight="1">
      <c r="A194" s="7"/>
      <c r="B194" s="8" t="s">
        <v>1180</v>
      </c>
      <c r="C194" s="8" t="s">
        <v>40</v>
      </c>
      <c r="D194" s="8">
        <v>9.841083499E9</v>
      </c>
      <c r="E194" s="8" t="s">
        <v>1181</v>
      </c>
      <c r="F194" s="8" t="s">
        <v>42</v>
      </c>
      <c r="G194" s="8" t="s">
        <v>103</v>
      </c>
      <c r="H194" s="8" t="s">
        <v>510</v>
      </c>
      <c r="I194" s="8" t="s">
        <v>425</v>
      </c>
      <c r="J194" s="8"/>
      <c r="K194" s="8">
        <v>9.841083499E9</v>
      </c>
      <c r="L194" s="9" t="s">
        <v>1184</v>
      </c>
      <c r="M194" s="8">
        <v>5211.0</v>
      </c>
      <c r="N194" s="8"/>
      <c r="O194" s="8"/>
      <c r="P194" s="8"/>
      <c r="Q194" s="8" t="s">
        <v>252</v>
      </c>
      <c r="R194" s="8"/>
      <c r="S194" s="8">
        <v>9.703124899E9</v>
      </c>
      <c r="T194" s="8"/>
      <c r="U194" s="8"/>
      <c r="V194" s="23">
        <v>46100.0</v>
      </c>
      <c r="W194" s="32">
        <f t="shared" si="5"/>
        <v>46128</v>
      </c>
      <c r="X194" s="8" t="s">
        <v>98</v>
      </c>
      <c r="Y194" s="7" t="str">
        <f t="shared" si="2"/>
        <v>Active</v>
      </c>
      <c r="Z194" s="8">
        <f t="shared" si="3"/>
        <v>13</v>
      </c>
      <c r="AA194" s="24"/>
      <c r="AB194" s="8" t="s">
        <v>1186</v>
      </c>
      <c r="AC194" s="8" t="s">
        <v>552</v>
      </c>
      <c r="AD194" s="8"/>
      <c r="AE194" s="8"/>
      <c r="AF194" s="8"/>
      <c r="AG194" s="8"/>
      <c r="AH194" s="8"/>
      <c r="AI194" s="8"/>
      <c r="AJ194" s="8"/>
      <c r="AK194" s="24"/>
      <c r="AL194" s="7"/>
      <c r="AM194" s="22"/>
    </row>
    <row r="195" ht="22.5" customHeight="1">
      <c r="A195" s="7"/>
      <c r="B195" s="8" t="s">
        <v>1187</v>
      </c>
      <c r="C195" s="8" t="s">
        <v>1188</v>
      </c>
      <c r="D195" s="8">
        <v>9.702988179E9</v>
      </c>
      <c r="E195" s="8" t="s">
        <v>1189</v>
      </c>
      <c r="F195" s="8" t="s">
        <v>42</v>
      </c>
      <c r="G195" s="8" t="s">
        <v>103</v>
      </c>
      <c r="H195" s="8" t="s">
        <v>1190</v>
      </c>
      <c r="I195" s="8" t="s">
        <v>649</v>
      </c>
      <c r="J195" s="8"/>
      <c r="K195" s="8" t="s">
        <v>1191</v>
      </c>
      <c r="L195" s="9" t="s">
        <v>1192</v>
      </c>
      <c r="M195" s="8">
        <v>903.0</v>
      </c>
      <c r="N195" s="8" t="s">
        <v>1193</v>
      </c>
      <c r="O195" s="8" t="s">
        <v>1194</v>
      </c>
      <c r="P195" s="8"/>
      <c r="Q195" s="8" t="s">
        <v>48</v>
      </c>
      <c r="R195" s="8" t="s">
        <v>1195</v>
      </c>
      <c r="S195" s="8"/>
      <c r="T195" s="8">
        <v>8.5231267E7</v>
      </c>
      <c r="U195" s="8">
        <v>3.0384323E7</v>
      </c>
      <c r="V195" s="23">
        <v>45837.0</v>
      </c>
      <c r="W195" s="32">
        <f t="shared" si="5"/>
        <v>46017</v>
      </c>
      <c r="X195" s="8" t="s">
        <v>63</v>
      </c>
      <c r="Y195" s="7" t="str">
        <f t="shared" si="2"/>
        <v>Expired</v>
      </c>
      <c r="Z195" s="8">
        <f t="shared" si="3"/>
        <v>0</v>
      </c>
      <c r="AA195" s="24"/>
      <c r="AB195" s="8" t="s">
        <v>1196</v>
      </c>
      <c r="AC195" s="8" t="s">
        <v>1197</v>
      </c>
      <c r="AD195" s="8"/>
      <c r="AE195" s="8"/>
      <c r="AF195" s="8"/>
      <c r="AG195" s="8"/>
      <c r="AH195" s="8"/>
      <c r="AI195" s="8"/>
      <c r="AJ195" s="8"/>
      <c r="AK195" s="24"/>
      <c r="AL195" s="7"/>
      <c r="AM195" s="22"/>
    </row>
    <row r="196" ht="22.5" customHeight="1">
      <c r="A196" s="7"/>
      <c r="B196" s="8" t="s">
        <v>1198</v>
      </c>
      <c r="C196" s="8" t="s">
        <v>1188</v>
      </c>
      <c r="D196" s="8">
        <v>9.702988179E9</v>
      </c>
      <c r="E196" s="8" t="s">
        <v>1189</v>
      </c>
      <c r="F196" s="8" t="s">
        <v>42</v>
      </c>
      <c r="G196" s="8" t="s">
        <v>103</v>
      </c>
      <c r="H196" s="8" t="s">
        <v>722</v>
      </c>
      <c r="I196" s="8" t="s">
        <v>649</v>
      </c>
      <c r="J196" s="8"/>
      <c r="K196" s="8" t="s">
        <v>1191</v>
      </c>
      <c r="L196" s="9" t="s">
        <v>1192</v>
      </c>
      <c r="M196" s="8">
        <v>902.0</v>
      </c>
      <c r="N196" s="8" t="s">
        <v>1199</v>
      </c>
      <c r="O196" s="8" t="s">
        <v>1200</v>
      </c>
      <c r="P196" s="8"/>
      <c r="Q196" s="8" t="s">
        <v>48</v>
      </c>
      <c r="R196" s="8" t="s">
        <v>1201</v>
      </c>
      <c r="S196" s="8"/>
      <c r="T196" s="8">
        <v>2.2911126E7</v>
      </c>
      <c r="U196" s="8">
        <v>2.320883E7</v>
      </c>
      <c r="V196" s="23">
        <v>45837.0</v>
      </c>
      <c r="W196" s="32">
        <f t="shared" si="5"/>
        <v>46017</v>
      </c>
      <c r="X196" s="8" t="s">
        <v>63</v>
      </c>
      <c r="Y196" s="7" t="str">
        <f t="shared" si="2"/>
        <v>Expired</v>
      </c>
      <c r="Z196" s="8">
        <f t="shared" si="3"/>
        <v>0</v>
      </c>
      <c r="AA196" s="24"/>
      <c r="AB196" s="8" t="s">
        <v>1202</v>
      </c>
      <c r="AC196" s="8" t="s">
        <v>1203</v>
      </c>
      <c r="AD196" s="8"/>
      <c r="AE196" s="8"/>
      <c r="AF196" s="8"/>
      <c r="AG196" s="8"/>
      <c r="AH196" s="8"/>
      <c r="AI196" s="8"/>
      <c r="AJ196" s="8"/>
      <c r="AK196" s="24"/>
      <c r="AL196" s="7"/>
      <c r="AM196" s="22"/>
    </row>
    <row r="197" ht="22.5" customHeight="1">
      <c r="A197" s="7"/>
      <c r="B197" s="8" t="s">
        <v>420</v>
      </c>
      <c r="C197" s="8" t="s">
        <v>40</v>
      </c>
      <c r="D197" s="8">
        <v>9.818072472E9</v>
      </c>
      <c r="E197" s="8" t="s">
        <v>1181</v>
      </c>
      <c r="F197" s="8" t="s">
        <v>42</v>
      </c>
      <c r="G197" s="8" t="s">
        <v>1012</v>
      </c>
      <c r="H197" s="8" t="s">
        <v>1204</v>
      </c>
      <c r="I197" s="8" t="s">
        <v>45</v>
      </c>
      <c r="J197" s="8"/>
      <c r="K197" s="8" t="s">
        <v>1205</v>
      </c>
      <c r="L197" s="9" t="s">
        <v>709</v>
      </c>
      <c r="M197" s="8">
        <v>9151.0</v>
      </c>
      <c r="N197" s="8" t="s">
        <v>1206</v>
      </c>
      <c r="O197" s="8" t="s">
        <v>1207</v>
      </c>
      <c r="P197" s="8"/>
      <c r="Q197" s="8" t="s">
        <v>48</v>
      </c>
      <c r="R197" s="8" t="s">
        <v>1208</v>
      </c>
      <c r="S197" s="8">
        <v>9.760844892E9</v>
      </c>
      <c r="T197" s="8">
        <v>8.4410798E7</v>
      </c>
      <c r="U197" s="8">
        <v>1.4512814E7</v>
      </c>
      <c r="V197" s="23">
        <v>46104.0</v>
      </c>
      <c r="W197" s="32">
        <f t="shared" si="5"/>
        <v>46284</v>
      </c>
      <c r="X197" s="8" t="s">
        <v>63</v>
      </c>
      <c r="Y197" s="7" t="str">
        <f t="shared" si="2"/>
        <v>Active</v>
      </c>
      <c r="Z197" s="8">
        <f t="shared" si="3"/>
        <v>169</v>
      </c>
      <c r="AA197" s="7">
        <v>46176.0</v>
      </c>
      <c r="AB197" s="8" t="s">
        <v>1209</v>
      </c>
      <c r="AC197" s="8" t="s">
        <v>1210</v>
      </c>
      <c r="AD197" s="8"/>
      <c r="AE197" s="8"/>
      <c r="AF197" s="8"/>
      <c r="AG197" s="8"/>
      <c r="AH197" s="8"/>
      <c r="AI197" s="8"/>
      <c r="AJ197" s="8"/>
      <c r="AK197" s="24"/>
      <c r="AL197" s="7"/>
      <c r="AM197" s="22"/>
    </row>
    <row r="198" ht="22.5" customHeight="1">
      <c r="A198" s="7"/>
      <c r="B198" s="8" t="s">
        <v>396</v>
      </c>
      <c r="C198" s="8"/>
      <c r="D198" s="8">
        <v>9.85402305E9</v>
      </c>
      <c r="E198" s="8" t="s">
        <v>397</v>
      </c>
      <c r="F198" s="8" t="s">
        <v>42</v>
      </c>
      <c r="G198" s="8" t="s">
        <v>103</v>
      </c>
      <c r="H198" s="8" t="s">
        <v>715</v>
      </c>
      <c r="I198" s="8" t="s">
        <v>45</v>
      </c>
      <c r="J198" s="8"/>
      <c r="K198" s="8">
        <v>9.85402305E9</v>
      </c>
      <c r="L198" s="9" t="s">
        <v>398</v>
      </c>
      <c r="M198" s="8">
        <v>200.0</v>
      </c>
      <c r="N198" s="8" t="s">
        <v>1211</v>
      </c>
      <c r="O198" s="8" t="s">
        <v>1212</v>
      </c>
      <c r="P198" s="8"/>
      <c r="Q198" s="8" t="s">
        <v>48</v>
      </c>
      <c r="R198" s="8" t="s">
        <v>1213</v>
      </c>
      <c r="S198" s="8">
        <v>9.76083916E9</v>
      </c>
      <c r="T198" s="8">
        <v>8.3172081E7</v>
      </c>
      <c r="U198" s="8">
        <v>1.684122E7</v>
      </c>
      <c r="V198" s="23">
        <v>46025.0</v>
      </c>
      <c r="W198" s="32">
        <f t="shared" si="5"/>
        <v>46205</v>
      </c>
      <c r="X198" s="8" t="s">
        <v>63</v>
      </c>
      <c r="Y198" s="7" t="str">
        <f t="shared" si="2"/>
        <v>Active</v>
      </c>
      <c r="Z198" s="8">
        <f t="shared" si="3"/>
        <v>90</v>
      </c>
      <c r="AA198" s="7">
        <v>46269.0</v>
      </c>
      <c r="AB198" s="8" t="s">
        <v>1214</v>
      </c>
      <c r="AC198" s="8" t="s">
        <v>1215</v>
      </c>
      <c r="AD198" s="8"/>
      <c r="AE198" s="8"/>
      <c r="AF198" s="8"/>
      <c r="AG198" s="8"/>
      <c r="AH198" s="8"/>
      <c r="AI198" s="8"/>
      <c r="AJ198" s="8"/>
      <c r="AK198" s="24"/>
      <c r="AL198" s="7"/>
      <c r="AM198" s="22"/>
    </row>
    <row r="199" ht="22.5" customHeight="1">
      <c r="A199" s="7"/>
      <c r="B199" s="8" t="s">
        <v>396</v>
      </c>
      <c r="C199" s="8"/>
      <c r="D199" s="8">
        <v>9.85402305E9</v>
      </c>
      <c r="E199" s="8" t="s">
        <v>1216</v>
      </c>
      <c r="F199" s="8" t="s">
        <v>42</v>
      </c>
      <c r="G199" s="8" t="s">
        <v>103</v>
      </c>
      <c r="H199" s="8" t="s">
        <v>232</v>
      </c>
      <c r="I199" s="8" t="s">
        <v>45</v>
      </c>
      <c r="J199" s="8"/>
      <c r="K199" s="8">
        <v>9.85402305E9</v>
      </c>
      <c r="L199" s="9" t="s">
        <v>398</v>
      </c>
      <c r="M199" s="8">
        <v>199.0</v>
      </c>
      <c r="N199" s="8" t="s">
        <v>1217</v>
      </c>
      <c r="O199" s="8" t="s">
        <v>1218</v>
      </c>
      <c r="P199" s="8"/>
      <c r="Q199" s="8" t="s">
        <v>48</v>
      </c>
      <c r="R199" s="8" t="s">
        <v>1219</v>
      </c>
      <c r="S199" s="8"/>
      <c r="T199" s="8">
        <v>2.7443161E7</v>
      </c>
      <c r="U199" s="8">
        <v>3.6672799E7</v>
      </c>
      <c r="V199" s="23">
        <v>46026.0</v>
      </c>
      <c r="W199" s="32">
        <f t="shared" si="5"/>
        <v>46206</v>
      </c>
      <c r="X199" s="8" t="s">
        <v>63</v>
      </c>
      <c r="Y199" s="7" t="str">
        <f t="shared" si="2"/>
        <v>Active</v>
      </c>
      <c r="Z199" s="8">
        <f t="shared" si="3"/>
        <v>91</v>
      </c>
      <c r="AA199" s="7">
        <v>46120.0</v>
      </c>
      <c r="AB199" s="8" t="s">
        <v>1220</v>
      </c>
      <c r="AC199" s="8" t="s">
        <v>1221</v>
      </c>
      <c r="AD199" s="8"/>
      <c r="AE199" s="8"/>
      <c r="AF199" s="8"/>
      <c r="AG199" s="8"/>
      <c r="AH199" s="8"/>
      <c r="AI199" s="8"/>
      <c r="AJ199" s="8"/>
      <c r="AK199" s="24"/>
      <c r="AL199" s="7"/>
      <c r="AM199" s="22"/>
    </row>
    <row r="200" ht="22.5" customHeight="1">
      <c r="A200" s="7"/>
      <c r="B200" s="8" t="s">
        <v>1222</v>
      </c>
      <c r="C200" s="8"/>
      <c r="D200" s="8"/>
      <c r="E200" s="8"/>
      <c r="F200" s="8" t="s">
        <v>42</v>
      </c>
      <c r="G200" s="8" t="s">
        <v>1012</v>
      </c>
      <c r="H200" s="8" t="s">
        <v>782</v>
      </c>
      <c r="I200" s="8" t="s">
        <v>1013</v>
      </c>
      <c r="J200" s="8"/>
      <c r="K200" s="8"/>
      <c r="L200" s="9"/>
      <c r="M200" s="8">
        <v>5753.0</v>
      </c>
      <c r="N200" s="8"/>
      <c r="O200" s="8"/>
      <c r="P200" s="8"/>
      <c r="Q200" s="8" t="s">
        <v>48</v>
      </c>
      <c r="R200" s="8"/>
      <c r="S200" s="8">
        <v>9.760835225E9</v>
      </c>
      <c r="T200" s="8"/>
      <c r="U200" s="8"/>
      <c r="V200" s="23">
        <v>45660.0</v>
      </c>
      <c r="W200" s="32">
        <f t="shared" si="5"/>
        <v>45840</v>
      </c>
      <c r="X200" s="8" t="s">
        <v>50</v>
      </c>
      <c r="Y200" s="7" t="str">
        <f t="shared" si="2"/>
        <v>Expired</v>
      </c>
      <c r="Z200" s="8">
        <f t="shared" si="3"/>
        <v>0</v>
      </c>
      <c r="AA200" s="24"/>
      <c r="AB200" s="8" t="s">
        <v>1223</v>
      </c>
      <c r="AC200" s="8"/>
      <c r="AD200" s="8"/>
      <c r="AE200" s="8"/>
      <c r="AF200" s="8"/>
      <c r="AG200" s="8"/>
      <c r="AH200" s="8"/>
      <c r="AI200" s="8"/>
      <c r="AJ200" s="8"/>
      <c r="AK200" s="24"/>
      <c r="AL200" s="7"/>
      <c r="AM200" s="22"/>
    </row>
    <row r="201" ht="22.5" customHeight="1">
      <c r="A201" s="7"/>
      <c r="B201" s="8" t="s">
        <v>1224</v>
      </c>
      <c r="C201" s="8"/>
      <c r="D201" s="8">
        <v>9.817042284E9</v>
      </c>
      <c r="E201" s="8" t="s">
        <v>1116</v>
      </c>
      <c r="F201" s="8" t="s">
        <v>42</v>
      </c>
      <c r="G201" s="8" t="s">
        <v>103</v>
      </c>
      <c r="H201" s="8" t="s">
        <v>1190</v>
      </c>
      <c r="I201" s="8" t="s">
        <v>649</v>
      </c>
      <c r="J201" s="8"/>
      <c r="K201" s="8">
        <v>9.817042284E9</v>
      </c>
      <c r="L201" s="9" t="s">
        <v>277</v>
      </c>
      <c r="M201" s="8">
        <v>352.0</v>
      </c>
      <c r="N201" s="8" t="s">
        <v>1225</v>
      </c>
      <c r="O201" s="8" t="s">
        <v>1226</v>
      </c>
      <c r="P201" s="8"/>
      <c r="Q201" s="8" t="s">
        <v>48</v>
      </c>
      <c r="R201" s="8"/>
      <c r="S201" s="8">
        <v>9.760835234E9</v>
      </c>
      <c r="T201" s="8">
        <v>3.0844666E7</v>
      </c>
      <c r="U201" s="8"/>
      <c r="V201" s="23">
        <v>45861.0</v>
      </c>
      <c r="W201" s="32">
        <f t="shared" si="5"/>
        <v>46041</v>
      </c>
      <c r="X201" s="8" t="s">
        <v>63</v>
      </c>
      <c r="Y201" s="7" t="str">
        <f t="shared" si="2"/>
        <v>Expired</v>
      </c>
      <c r="Z201" s="8">
        <f t="shared" si="3"/>
        <v>0</v>
      </c>
      <c r="AA201" s="7">
        <v>46041.0</v>
      </c>
      <c r="AB201" s="8" t="s">
        <v>1227</v>
      </c>
      <c r="AC201" s="8">
        <v>3520353.0</v>
      </c>
      <c r="AD201" s="8"/>
      <c r="AE201" s="8"/>
      <c r="AF201" s="8"/>
      <c r="AG201" s="8"/>
      <c r="AH201" s="8"/>
      <c r="AI201" s="8"/>
      <c r="AJ201" s="8"/>
      <c r="AK201" s="24"/>
      <c r="AL201" s="7"/>
      <c r="AM201" s="22"/>
    </row>
    <row r="202" ht="22.5" customHeight="1">
      <c r="A202" s="7"/>
      <c r="B202" s="8" t="s">
        <v>1224</v>
      </c>
      <c r="C202" s="8"/>
      <c r="D202" s="8">
        <v>9.817042284E9</v>
      </c>
      <c r="E202" s="8" t="s">
        <v>1116</v>
      </c>
      <c r="F202" s="8" t="s">
        <v>42</v>
      </c>
      <c r="G202" s="8" t="s">
        <v>103</v>
      </c>
      <c r="H202" s="8" t="s">
        <v>1190</v>
      </c>
      <c r="I202" s="8" t="s">
        <v>649</v>
      </c>
      <c r="J202" s="8"/>
      <c r="K202" s="8">
        <v>9.817042284E9</v>
      </c>
      <c r="L202" s="9" t="s">
        <v>277</v>
      </c>
      <c r="M202" s="8">
        <v>353.0</v>
      </c>
      <c r="N202" s="8" t="s">
        <v>1228</v>
      </c>
      <c r="O202" s="8"/>
      <c r="P202" s="8"/>
      <c r="Q202" s="8" t="s">
        <v>48</v>
      </c>
      <c r="R202" s="8"/>
      <c r="S202" s="8">
        <v>9.760835167E9</v>
      </c>
      <c r="T202" s="8">
        <v>7.0151279E7</v>
      </c>
      <c r="U202" s="8"/>
      <c r="V202" s="23">
        <v>45861.0</v>
      </c>
      <c r="W202" s="32">
        <f t="shared" si="5"/>
        <v>46041</v>
      </c>
      <c r="X202" s="8" t="s">
        <v>63</v>
      </c>
      <c r="Y202" s="7" t="str">
        <f t="shared" si="2"/>
        <v>Expired</v>
      </c>
      <c r="Z202" s="8">
        <f t="shared" si="3"/>
        <v>0</v>
      </c>
      <c r="AA202" s="7">
        <v>46041.0</v>
      </c>
      <c r="AB202" s="8" t="s">
        <v>1229</v>
      </c>
      <c r="AC202" s="8">
        <v>3520353.0</v>
      </c>
      <c r="AD202" s="8"/>
      <c r="AE202" s="8"/>
      <c r="AF202" s="8"/>
      <c r="AG202" s="8"/>
      <c r="AH202" s="8"/>
      <c r="AI202" s="8"/>
      <c r="AJ202" s="8"/>
      <c r="AK202" s="24"/>
      <c r="AL202" s="7"/>
      <c r="AM202" s="22"/>
    </row>
    <row r="203" ht="22.5" customHeight="1">
      <c r="A203" s="7"/>
      <c r="B203" s="8" t="s">
        <v>1180</v>
      </c>
      <c r="C203" s="8"/>
      <c r="D203" s="8">
        <v>9.841083499E9</v>
      </c>
      <c r="E203" s="8" t="s">
        <v>1230</v>
      </c>
      <c r="F203" s="8" t="s">
        <v>42</v>
      </c>
      <c r="G203" s="8" t="s">
        <v>103</v>
      </c>
      <c r="H203" s="8" t="s">
        <v>1231</v>
      </c>
      <c r="I203" s="8" t="s">
        <v>425</v>
      </c>
      <c r="J203" s="8"/>
      <c r="K203" s="8">
        <v>9.841083499E9</v>
      </c>
      <c r="L203" s="9" t="s">
        <v>1184</v>
      </c>
      <c r="M203" s="8">
        <v>8565.0</v>
      </c>
      <c r="N203" s="8" t="s">
        <v>1232</v>
      </c>
      <c r="O203" s="8" t="s">
        <v>1233</v>
      </c>
      <c r="P203" s="8"/>
      <c r="Q203" s="8" t="s">
        <v>48</v>
      </c>
      <c r="R203" s="8" t="s">
        <v>1234</v>
      </c>
      <c r="S203" s="8">
        <v>9.760825957E9</v>
      </c>
      <c r="T203" s="8">
        <v>2.7443161E7</v>
      </c>
      <c r="U203" s="8">
        <v>1.5215236E7</v>
      </c>
      <c r="V203" s="23">
        <v>45918.0</v>
      </c>
      <c r="W203" s="32">
        <f t="shared" si="5"/>
        <v>46098</v>
      </c>
      <c r="X203" s="8" t="s">
        <v>63</v>
      </c>
      <c r="Y203" s="7" t="str">
        <f t="shared" si="2"/>
        <v>Expired</v>
      </c>
      <c r="Z203" s="8">
        <f t="shared" si="3"/>
        <v>0</v>
      </c>
      <c r="AA203" s="7">
        <v>46120.0</v>
      </c>
      <c r="AB203" s="8" t="s">
        <v>1235</v>
      </c>
      <c r="AC203" s="8" t="s">
        <v>1236</v>
      </c>
      <c r="AD203" s="8"/>
      <c r="AE203" s="8"/>
      <c r="AF203" s="8"/>
      <c r="AG203" s="8"/>
      <c r="AH203" s="8"/>
      <c r="AI203" s="8"/>
      <c r="AJ203" s="8"/>
      <c r="AK203" s="24"/>
      <c r="AL203" s="7"/>
      <c r="AM203" s="22"/>
    </row>
    <row r="204" ht="22.5" customHeight="1">
      <c r="A204" s="7"/>
      <c r="B204" s="8" t="s">
        <v>1237</v>
      </c>
      <c r="C204" s="8"/>
      <c r="D204" s="8">
        <v>9.807825856E9</v>
      </c>
      <c r="E204" s="8" t="s">
        <v>1238</v>
      </c>
      <c r="F204" s="8" t="s">
        <v>42</v>
      </c>
      <c r="G204" s="8" t="s">
        <v>103</v>
      </c>
      <c r="H204" s="8" t="s">
        <v>232</v>
      </c>
      <c r="I204" s="8" t="s">
        <v>45</v>
      </c>
      <c r="J204" s="8"/>
      <c r="K204" s="8" t="s">
        <v>1239</v>
      </c>
      <c r="L204" s="9" t="s">
        <v>1240</v>
      </c>
      <c r="M204" s="8">
        <v>9285.0</v>
      </c>
      <c r="N204" s="8"/>
      <c r="O204" s="8"/>
      <c r="P204" s="8"/>
      <c r="Q204" s="8" t="s">
        <v>48</v>
      </c>
      <c r="R204" s="8"/>
      <c r="S204" s="8">
        <v>9.808665294E9</v>
      </c>
      <c r="T204" s="8"/>
      <c r="U204" s="8"/>
      <c r="V204" s="23">
        <v>46047.0</v>
      </c>
      <c r="W204" s="32">
        <f t="shared" si="5"/>
        <v>46227</v>
      </c>
      <c r="X204" s="8" t="s">
        <v>63</v>
      </c>
      <c r="Y204" s="7" t="str">
        <f t="shared" si="2"/>
        <v>Active</v>
      </c>
      <c r="Z204" s="8">
        <f t="shared" si="3"/>
        <v>112</v>
      </c>
      <c r="AA204" s="7">
        <v>46104.0</v>
      </c>
      <c r="AB204" s="8" t="s">
        <v>1241</v>
      </c>
      <c r="AC204" s="8" t="s">
        <v>1242</v>
      </c>
      <c r="AD204" s="8"/>
      <c r="AE204" s="8"/>
      <c r="AF204" s="8"/>
      <c r="AG204" s="8"/>
      <c r="AH204" s="8"/>
      <c r="AI204" s="8"/>
      <c r="AJ204" s="8"/>
      <c r="AK204" s="24"/>
      <c r="AL204" s="7"/>
      <c r="AM204" s="22"/>
    </row>
    <row r="205" ht="22.5" customHeight="1">
      <c r="A205" s="7"/>
      <c r="B205" s="8" t="s">
        <v>1237</v>
      </c>
      <c r="C205" s="8"/>
      <c r="D205" s="8">
        <v>9.807825856E9</v>
      </c>
      <c r="E205" s="8" t="s">
        <v>1238</v>
      </c>
      <c r="F205" s="8" t="s">
        <v>42</v>
      </c>
      <c r="G205" s="8" t="s">
        <v>103</v>
      </c>
      <c r="H205" s="8" t="s">
        <v>232</v>
      </c>
      <c r="I205" s="8" t="s">
        <v>45</v>
      </c>
      <c r="J205" s="8"/>
      <c r="K205" s="8" t="s">
        <v>1239</v>
      </c>
      <c r="L205" s="9" t="s">
        <v>1240</v>
      </c>
      <c r="M205" s="8">
        <v>9284.0</v>
      </c>
      <c r="N205" s="8" t="s">
        <v>1243</v>
      </c>
      <c r="O205" s="8" t="s">
        <v>1244</v>
      </c>
      <c r="P205" s="8"/>
      <c r="Q205" s="8" t="s">
        <v>48</v>
      </c>
      <c r="R205" s="8"/>
      <c r="S205" s="8">
        <v>9.810252874E9</v>
      </c>
      <c r="T205" s="8"/>
      <c r="U205" s="8"/>
      <c r="V205" s="23">
        <v>46048.0</v>
      </c>
      <c r="W205" s="32">
        <f t="shared" si="5"/>
        <v>46228</v>
      </c>
      <c r="X205" s="8" t="s">
        <v>63</v>
      </c>
      <c r="Y205" s="7" t="str">
        <f t="shared" si="2"/>
        <v>Active</v>
      </c>
      <c r="Z205" s="8">
        <f t="shared" si="3"/>
        <v>113</v>
      </c>
      <c r="AA205" s="7">
        <v>46104.0</v>
      </c>
      <c r="AB205" s="8" t="s">
        <v>1245</v>
      </c>
      <c r="AC205" s="8" t="s">
        <v>1246</v>
      </c>
      <c r="AD205" s="8"/>
      <c r="AE205" s="8"/>
      <c r="AF205" s="8"/>
      <c r="AG205" s="8"/>
      <c r="AH205" s="8"/>
      <c r="AI205" s="8"/>
      <c r="AJ205" s="8"/>
      <c r="AK205" s="24"/>
      <c r="AL205" s="7"/>
      <c r="AM205" s="22"/>
    </row>
    <row r="206" ht="22.5" hidden="1" customHeight="1">
      <c r="A206" s="7"/>
      <c r="B206" s="8" t="s">
        <v>1247</v>
      </c>
      <c r="C206" s="8"/>
      <c r="D206" s="8">
        <v>9.851098476E9</v>
      </c>
      <c r="E206" s="8" t="s">
        <v>1248</v>
      </c>
      <c r="F206" s="8" t="s">
        <v>42</v>
      </c>
      <c r="G206" s="8" t="s">
        <v>1012</v>
      </c>
      <c r="H206" s="8" t="s">
        <v>596</v>
      </c>
      <c r="I206" s="8" t="s">
        <v>844</v>
      </c>
      <c r="J206" s="8"/>
      <c r="K206" s="8" t="s">
        <v>1249</v>
      </c>
      <c r="L206" s="9" t="s">
        <v>1250</v>
      </c>
      <c r="M206" s="8">
        <v>9165.0</v>
      </c>
      <c r="N206" s="8" t="s">
        <v>1251</v>
      </c>
      <c r="O206" s="8" t="s">
        <v>1252</v>
      </c>
      <c r="P206" s="8"/>
      <c r="Q206" s="8" t="s">
        <v>48</v>
      </c>
      <c r="R206" s="8" t="s">
        <v>1253</v>
      </c>
      <c r="S206" s="8">
        <v>9.760830954E9</v>
      </c>
      <c r="T206" s="8">
        <v>5.681288E7</v>
      </c>
      <c r="U206" s="8">
        <v>3.1868205E7</v>
      </c>
      <c r="V206" s="23">
        <v>45862.0</v>
      </c>
      <c r="W206" s="32">
        <f t="shared" si="5"/>
        <v>46042</v>
      </c>
      <c r="X206" s="8" t="s">
        <v>63</v>
      </c>
      <c r="Y206" s="7" t="str">
        <f t="shared" si="2"/>
        <v>Expired</v>
      </c>
      <c r="Z206" s="8">
        <f t="shared" si="3"/>
        <v>0</v>
      </c>
      <c r="AA206" s="7"/>
      <c r="AB206" s="8" t="s">
        <v>1254</v>
      </c>
      <c r="AC206" s="8" t="s">
        <v>1255</v>
      </c>
      <c r="AD206" s="8"/>
      <c r="AE206" s="8"/>
      <c r="AF206" s="8"/>
      <c r="AG206" s="8"/>
      <c r="AH206" s="8"/>
      <c r="AI206" s="8"/>
      <c r="AJ206" s="8"/>
      <c r="AK206" s="24"/>
      <c r="AL206" s="7"/>
      <c r="AM206" s="22"/>
    </row>
    <row r="207" ht="22.5" hidden="1" customHeight="1">
      <c r="A207" s="7"/>
      <c r="B207" s="8" t="s">
        <v>1256</v>
      </c>
      <c r="C207" s="8"/>
      <c r="D207" s="8">
        <v>9.841452669E9</v>
      </c>
      <c r="E207" s="8" t="s">
        <v>1257</v>
      </c>
      <c r="F207" s="8" t="s">
        <v>42</v>
      </c>
      <c r="G207" s="8" t="s">
        <v>1012</v>
      </c>
      <c r="H207" s="8" t="s">
        <v>596</v>
      </c>
      <c r="I207" s="8" t="s">
        <v>844</v>
      </c>
      <c r="J207" s="8"/>
      <c r="K207" s="8" t="s">
        <v>1258</v>
      </c>
      <c r="L207" s="9" t="s">
        <v>1259</v>
      </c>
      <c r="M207" s="8">
        <v>9091.0</v>
      </c>
      <c r="N207" s="8" t="s">
        <v>1260</v>
      </c>
      <c r="O207" s="8" t="s">
        <v>1261</v>
      </c>
      <c r="P207" s="8"/>
      <c r="Q207" s="8" t="s">
        <v>48</v>
      </c>
      <c r="R207" s="8" t="s">
        <v>1262</v>
      </c>
      <c r="S207" s="8">
        <v>9.760838527E9</v>
      </c>
      <c r="T207" s="8">
        <v>1.603925E7</v>
      </c>
      <c r="U207" s="8">
        <v>8.7431987E7</v>
      </c>
      <c r="V207" s="23">
        <v>45862.0</v>
      </c>
      <c r="W207" s="32">
        <f t="shared" si="5"/>
        <v>46042</v>
      </c>
      <c r="X207" s="8" t="s">
        <v>63</v>
      </c>
      <c r="Y207" s="7" t="str">
        <f t="shared" si="2"/>
        <v>Expired</v>
      </c>
      <c r="Z207" s="8">
        <f t="shared" si="3"/>
        <v>0</v>
      </c>
      <c r="AA207" s="24"/>
      <c r="AB207" s="8" t="s">
        <v>1263</v>
      </c>
      <c r="AC207" s="8" t="s">
        <v>1264</v>
      </c>
      <c r="AD207" s="8"/>
      <c r="AE207" s="8"/>
      <c r="AF207" s="8"/>
      <c r="AG207" s="8"/>
      <c r="AH207" s="8"/>
      <c r="AI207" s="8"/>
      <c r="AJ207" s="8"/>
      <c r="AK207" s="24"/>
      <c r="AL207" s="7"/>
      <c r="AM207" s="22"/>
    </row>
    <row r="208" ht="22.5" hidden="1" customHeight="1">
      <c r="A208" s="7"/>
      <c r="B208" s="8" t="s">
        <v>1256</v>
      </c>
      <c r="C208" s="8"/>
      <c r="D208" s="8">
        <v>9.841452669E9</v>
      </c>
      <c r="E208" s="8" t="s">
        <v>1257</v>
      </c>
      <c r="F208" s="8" t="s">
        <v>42</v>
      </c>
      <c r="G208" s="8" t="s">
        <v>1012</v>
      </c>
      <c r="H208" s="8" t="s">
        <v>596</v>
      </c>
      <c r="I208" s="8" t="s">
        <v>844</v>
      </c>
      <c r="J208" s="8"/>
      <c r="K208" s="8" t="s">
        <v>1258</v>
      </c>
      <c r="L208" s="9" t="s">
        <v>1259</v>
      </c>
      <c r="M208" s="8">
        <v>9075.0</v>
      </c>
      <c r="N208" s="8" t="s">
        <v>1265</v>
      </c>
      <c r="O208" s="8" t="s">
        <v>1266</v>
      </c>
      <c r="P208" s="8"/>
      <c r="Q208" s="8" t="s">
        <v>48</v>
      </c>
      <c r="R208" s="8" t="s">
        <v>1267</v>
      </c>
      <c r="S208" s="8">
        <v>9.76083853E9</v>
      </c>
      <c r="T208" s="8">
        <v>2.7079255E7</v>
      </c>
      <c r="U208" s="8">
        <v>1.0590319E7</v>
      </c>
      <c r="V208" s="23">
        <v>45862.0</v>
      </c>
      <c r="W208" s="32">
        <f t="shared" si="5"/>
        <v>46042</v>
      </c>
      <c r="X208" s="8" t="s">
        <v>63</v>
      </c>
      <c r="Y208" s="7" t="str">
        <f t="shared" si="2"/>
        <v>Expired</v>
      </c>
      <c r="Z208" s="8">
        <f t="shared" si="3"/>
        <v>0</v>
      </c>
      <c r="AA208" s="24"/>
      <c r="AB208" s="8" t="s">
        <v>1268</v>
      </c>
      <c r="AC208" s="8" t="s">
        <v>1269</v>
      </c>
      <c r="AD208" s="8"/>
      <c r="AE208" s="8"/>
      <c r="AF208" s="8"/>
      <c r="AG208" s="8"/>
      <c r="AH208" s="8"/>
      <c r="AI208" s="8"/>
      <c r="AJ208" s="8"/>
      <c r="AK208" s="24"/>
      <c r="AL208" s="7"/>
      <c r="AM208" s="22"/>
    </row>
    <row r="209" ht="22.5" hidden="1" customHeight="1">
      <c r="A209" s="7"/>
      <c r="B209" s="8" t="s">
        <v>1270</v>
      </c>
      <c r="C209" s="8"/>
      <c r="D209" s="8">
        <v>9.851098476E9</v>
      </c>
      <c r="E209" s="8" t="s">
        <v>1248</v>
      </c>
      <c r="F209" s="8" t="s">
        <v>42</v>
      </c>
      <c r="G209" s="8" t="s">
        <v>1012</v>
      </c>
      <c r="H209" s="8" t="s">
        <v>596</v>
      </c>
      <c r="I209" s="8" t="s">
        <v>844</v>
      </c>
      <c r="J209" s="8"/>
      <c r="K209" s="8" t="s">
        <v>1249</v>
      </c>
      <c r="L209" s="9" t="s">
        <v>1250</v>
      </c>
      <c r="M209" s="8">
        <v>9079.0</v>
      </c>
      <c r="N209" s="8" t="s">
        <v>1271</v>
      </c>
      <c r="O209" s="8" t="s">
        <v>1272</v>
      </c>
      <c r="P209" s="8"/>
      <c r="Q209" s="8" t="s">
        <v>48</v>
      </c>
      <c r="R209" s="8" t="s">
        <v>1273</v>
      </c>
      <c r="S209" s="8"/>
      <c r="T209" s="8"/>
      <c r="U209" s="8"/>
      <c r="V209" s="23">
        <v>45862.0</v>
      </c>
      <c r="W209" s="32">
        <f t="shared" si="5"/>
        <v>46042</v>
      </c>
      <c r="X209" s="8" t="s">
        <v>63</v>
      </c>
      <c r="Y209" s="7" t="str">
        <f t="shared" si="2"/>
        <v>Expired</v>
      </c>
      <c r="Z209" s="8">
        <f t="shared" si="3"/>
        <v>0</v>
      </c>
      <c r="AA209" s="24"/>
      <c r="AB209" s="8" t="s">
        <v>1274</v>
      </c>
      <c r="AC209" s="8" t="s">
        <v>1275</v>
      </c>
      <c r="AD209" s="8"/>
      <c r="AE209" s="8"/>
      <c r="AF209" s="8"/>
      <c r="AG209" s="8"/>
      <c r="AH209" s="8"/>
      <c r="AI209" s="8"/>
      <c r="AJ209" s="8"/>
      <c r="AK209" s="24"/>
      <c r="AL209" s="7"/>
      <c r="AM209" s="22"/>
    </row>
    <row r="210" ht="22.5" hidden="1" customHeight="1">
      <c r="A210" s="7"/>
      <c r="B210" s="8" t="s">
        <v>815</v>
      </c>
      <c r="C210" s="8"/>
      <c r="D210" s="8">
        <v>9.85133018E9</v>
      </c>
      <c r="E210" s="8" t="s">
        <v>1276</v>
      </c>
      <c r="F210" s="8" t="s">
        <v>42</v>
      </c>
      <c r="G210" s="8" t="s">
        <v>103</v>
      </c>
      <c r="H210" s="8" t="s">
        <v>232</v>
      </c>
      <c r="I210" s="8" t="s">
        <v>45</v>
      </c>
      <c r="J210" s="8"/>
      <c r="K210" s="8">
        <v>9.841709546E9</v>
      </c>
      <c r="L210" s="9" t="s">
        <v>1277</v>
      </c>
      <c r="M210" s="8">
        <v>3297.0</v>
      </c>
      <c r="N210" s="8" t="s">
        <v>1278</v>
      </c>
      <c r="O210" s="8" t="s">
        <v>1279</v>
      </c>
      <c r="P210" s="8"/>
      <c r="Q210" s="8" t="s">
        <v>48</v>
      </c>
      <c r="R210" s="8" t="s">
        <v>1280</v>
      </c>
      <c r="S210" s="8"/>
      <c r="T210" s="8">
        <v>2.1056343E7</v>
      </c>
      <c r="U210" s="8"/>
      <c r="V210" s="23">
        <v>45925.0</v>
      </c>
      <c r="W210" s="32">
        <f t="shared" si="5"/>
        <v>45955</v>
      </c>
      <c r="X210" s="8" t="s">
        <v>137</v>
      </c>
      <c r="Y210" s="7" t="str">
        <f t="shared" si="2"/>
        <v>Expired</v>
      </c>
      <c r="Z210" s="8">
        <f t="shared" si="3"/>
        <v>0</v>
      </c>
      <c r="AA210" s="7"/>
      <c r="AB210" s="8" t="s">
        <v>1281</v>
      </c>
      <c r="AC210" s="8" t="s">
        <v>1282</v>
      </c>
      <c r="AD210" s="8"/>
      <c r="AE210" s="8"/>
      <c r="AF210" s="8"/>
      <c r="AG210" s="8"/>
      <c r="AH210" s="8"/>
      <c r="AI210" s="8"/>
      <c r="AJ210" s="8"/>
      <c r="AK210" s="24"/>
      <c r="AL210" s="7"/>
      <c r="AM210" s="22"/>
    </row>
    <row r="211" ht="22.5" hidden="1" customHeight="1">
      <c r="A211" s="7"/>
      <c r="B211" s="8" t="s">
        <v>815</v>
      </c>
      <c r="C211" s="8"/>
      <c r="D211" s="8">
        <v>9.85133018E9</v>
      </c>
      <c r="E211" s="8" t="s">
        <v>1276</v>
      </c>
      <c r="F211" s="8" t="s">
        <v>42</v>
      </c>
      <c r="G211" s="8" t="s">
        <v>103</v>
      </c>
      <c r="H211" s="8" t="s">
        <v>232</v>
      </c>
      <c r="I211" s="8" t="s">
        <v>45</v>
      </c>
      <c r="J211" s="8"/>
      <c r="K211" s="8">
        <v>9.841709546E9</v>
      </c>
      <c r="L211" s="9" t="s">
        <v>1277</v>
      </c>
      <c r="M211" s="8">
        <v>3298.0</v>
      </c>
      <c r="N211" s="8" t="s">
        <v>1283</v>
      </c>
      <c r="O211" s="8" t="s">
        <v>1284</v>
      </c>
      <c r="P211" s="8"/>
      <c r="Q211" s="8" t="s">
        <v>48</v>
      </c>
      <c r="R211" s="8" t="s">
        <v>1285</v>
      </c>
      <c r="S211" s="8">
        <v>9.760835015E9</v>
      </c>
      <c r="T211" s="8"/>
      <c r="U211" s="8"/>
      <c r="V211" s="23">
        <v>45927.0</v>
      </c>
      <c r="W211" s="32">
        <f t="shared" si="5"/>
        <v>45957</v>
      </c>
      <c r="X211" s="8" t="s">
        <v>137</v>
      </c>
      <c r="Y211" s="7" t="str">
        <f t="shared" si="2"/>
        <v>Expired</v>
      </c>
      <c r="Z211" s="8">
        <f t="shared" si="3"/>
        <v>0</v>
      </c>
      <c r="AA211" s="24"/>
      <c r="AB211" s="8" t="s">
        <v>1286</v>
      </c>
      <c r="AC211" s="8" t="s">
        <v>1287</v>
      </c>
      <c r="AD211" s="8"/>
      <c r="AE211" s="8"/>
      <c r="AF211" s="8"/>
      <c r="AG211" s="8"/>
      <c r="AH211" s="8"/>
      <c r="AI211" s="8"/>
      <c r="AJ211" s="8"/>
      <c r="AK211" s="24"/>
      <c r="AL211" s="7"/>
      <c r="AM211" s="22"/>
    </row>
    <row r="212" ht="22.5" customHeight="1">
      <c r="A212" s="7"/>
      <c r="B212" s="8" t="s">
        <v>1288</v>
      </c>
      <c r="C212" s="8"/>
      <c r="D212" s="8">
        <v>9.849724751E9</v>
      </c>
      <c r="E212" s="8" t="s">
        <v>1289</v>
      </c>
      <c r="F212" s="8" t="s">
        <v>42</v>
      </c>
      <c r="G212" s="8" t="s">
        <v>1012</v>
      </c>
      <c r="H212" s="8" t="s">
        <v>1290</v>
      </c>
      <c r="I212" s="8" t="s">
        <v>1291</v>
      </c>
      <c r="J212" s="8"/>
      <c r="K212" s="8">
        <v>9.849724751E9</v>
      </c>
      <c r="L212" s="9" t="s">
        <v>1292</v>
      </c>
      <c r="M212" s="8">
        <v>427.0</v>
      </c>
      <c r="N212" s="8" t="s">
        <v>1293</v>
      </c>
      <c r="O212" s="8"/>
      <c r="P212" s="8"/>
      <c r="Q212" s="8" t="s">
        <v>48</v>
      </c>
      <c r="R212" s="8" t="s">
        <v>1294</v>
      </c>
      <c r="S212" s="8">
        <v>9.760825965E9</v>
      </c>
      <c r="T212" s="8">
        <v>3.805938E7</v>
      </c>
      <c r="U212" s="8">
        <v>5.6124219E7</v>
      </c>
      <c r="V212" s="23">
        <v>46094.0</v>
      </c>
      <c r="W212" s="32">
        <f t="shared" si="5"/>
        <v>46274</v>
      </c>
      <c r="X212" s="8" t="s">
        <v>63</v>
      </c>
      <c r="Y212" s="7" t="str">
        <f t="shared" si="2"/>
        <v>Active</v>
      </c>
      <c r="Z212" s="8">
        <f t="shared" si="3"/>
        <v>159</v>
      </c>
      <c r="AA212" s="7">
        <v>46120.0</v>
      </c>
      <c r="AB212" s="8" t="s">
        <v>1295</v>
      </c>
      <c r="AC212" s="8"/>
      <c r="AD212" s="8"/>
      <c r="AE212" s="8"/>
      <c r="AF212" s="8"/>
      <c r="AG212" s="8"/>
      <c r="AH212" s="8"/>
      <c r="AI212" s="8"/>
      <c r="AJ212" s="8"/>
      <c r="AK212" s="24"/>
      <c r="AL212" s="7"/>
      <c r="AM212" s="22"/>
    </row>
    <row r="213" ht="22.5" customHeight="1">
      <c r="A213" s="7"/>
      <c r="B213" s="8" t="s">
        <v>975</v>
      </c>
      <c r="C213" s="8"/>
      <c r="D213" s="8">
        <v>9.810435261E9</v>
      </c>
      <c r="E213" s="8" t="s">
        <v>437</v>
      </c>
      <c r="F213" s="8" t="s">
        <v>1296</v>
      </c>
      <c r="G213" s="8" t="s">
        <v>103</v>
      </c>
      <c r="H213" s="8" t="s">
        <v>1297</v>
      </c>
      <c r="I213" s="8" t="s">
        <v>1158</v>
      </c>
      <c r="J213" s="8"/>
      <c r="K213" s="8">
        <v>9.810435261E9</v>
      </c>
      <c r="L213" s="9" t="s">
        <v>1145</v>
      </c>
      <c r="M213" s="8">
        <v>780.0</v>
      </c>
      <c r="N213" s="8" t="s">
        <v>1298</v>
      </c>
      <c r="O213" s="8" t="s">
        <v>1299</v>
      </c>
      <c r="P213" s="8"/>
      <c r="Q213" s="8" t="s">
        <v>48</v>
      </c>
      <c r="R213" s="8" t="s">
        <v>1300</v>
      </c>
      <c r="S213" s="8">
        <v>9.760837764E9</v>
      </c>
      <c r="T213" s="8">
        <v>1.1180128E7</v>
      </c>
      <c r="U213" s="8">
        <v>2.672412E7</v>
      </c>
      <c r="V213" s="23">
        <v>46093.0</v>
      </c>
      <c r="W213" s="32">
        <f t="shared" si="5"/>
        <v>46123</v>
      </c>
      <c r="X213" s="8" t="s">
        <v>137</v>
      </c>
      <c r="Y213" s="7" t="str">
        <f t="shared" si="2"/>
        <v>Active</v>
      </c>
      <c r="Z213" s="8">
        <f t="shared" si="3"/>
        <v>8</v>
      </c>
      <c r="AA213" s="7"/>
      <c r="AB213" s="8" t="s">
        <v>1301</v>
      </c>
      <c r="AC213" s="8" t="s">
        <v>1302</v>
      </c>
      <c r="AD213" s="8"/>
      <c r="AE213" s="8"/>
      <c r="AF213" s="8"/>
      <c r="AG213" s="8"/>
      <c r="AH213" s="8"/>
      <c r="AI213" s="8"/>
      <c r="AJ213" s="8"/>
      <c r="AK213" s="24"/>
      <c r="AL213" s="7"/>
      <c r="AM213" s="22"/>
    </row>
    <row r="214" ht="22.5" customHeight="1">
      <c r="A214" s="7"/>
      <c r="B214" s="8" t="s">
        <v>1303</v>
      </c>
      <c r="C214" s="8"/>
      <c r="D214" s="8">
        <v>9.804963968E9</v>
      </c>
      <c r="E214" s="8" t="s">
        <v>1304</v>
      </c>
      <c r="F214" s="8" t="s">
        <v>42</v>
      </c>
      <c r="G214" s="8" t="s">
        <v>1305</v>
      </c>
      <c r="H214" s="8" t="s">
        <v>1306</v>
      </c>
      <c r="I214" s="8" t="s">
        <v>844</v>
      </c>
      <c r="J214" s="8"/>
      <c r="K214" s="8" t="s">
        <v>1307</v>
      </c>
      <c r="L214" s="9" t="s">
        <v>1308</v>
      </c>
      <c r="M214" s="8">
        <v>7271.0</v>
      </c>
      <c r="N214" s="8" t="s">
        <v>1309</v>
      </c>
      <c r="O214" s="8" t="s">
        <v>1310</v>
      </c>
      <c r="P214" s="8"/>
      <c r="Q214" s="8" t="s">
        <v>48</v>
      </c>
      <c r="R214" s="8" t="s">
        <v>1311</v>
      </c>
      <c r="S214" s="8">
        <v>9.760831626E9</v>
      </c>
      <c r="T214" s="8">
        <v>5.0252217E7</v>
      </c>
      <c r="U214" s="8">
        <v>2.116101E7</v>
      </c>
      <c r="V214" s="23"/>
      <c r="W214" s="27" t="str">
        <f t="shared" si="5"/>
        <v/>
      </c>
      <c r="X214" s="8"/>
      <c r="Y214" s="7" t="str">
        <f t="shared" si="2"/>
        <v>Expired</v>
      </c>
      <c r="Z214" s="8">
        <f t="shared" si="3"/>
        <v>0</v>
      </c>
      <c r="AA214" s="7"/>
      <c r="AB214" s="8" t="s">
        <v>1312</v>
      </c>
      <c r="AC214" s="8"/>
      <c r="AD214" s="8"/>
      <c r="AE214" s="8"/>
      <c r="AF214" s="8"/>
      <c r="AG214" s="8"/>
      <c r="AH214" s="8"/>
      <c r="AI214" s="8"/>
      <c r="AJ214" s="8"/>
      <c r="AK214" s="24"/>
      <c r="AL214" s="7"/>
      <c r="AM214" s="22"/>
    </row>
    <row r="215" ht="22.5" customHeight="1">
      <c r="A215" s="7"/>
      <c r="B215" s="8" t="s">
        <v>975</v>
      </c>
      <c r="C215" s="8"/>
      <c r="D215" s="8">
        <v>9.810435261E9</v>
      </c>
      <c r="E215" s="8" t="s">
        <v>437</v>
      </c>
      <c r="F215" s="8" t="s">
        <v>42</v>
      </c>
      <c r="G215" s="8" t="s">
        <v>103</v>
      </c>
      <c r="H215" s="8" t="s">
        <v>1313</v>
      </c>
      <c r="I215" s="8" t="s">
        <v>1158</v>
      </c>
      <c r="J215" s="8"/>
      <c r="K215" s="8">
        <v>9.810435261E9</v>
      </c>
      <c r="L215" s="9" t="s">
        <v>1145</v>
      </c>
      <c r="M215" s="8">
        <v>781.0</v>
      </c>
      <c r="N215" s="8"/>
      <c r="O215" s="8"/>
      <c r="P215" s="8"/>
      <c r="Q215" s="8" t="s">
        <v>48</v>
      </c>
      <c r="R215" s="8" t="s">
        <v>1314</v>
      </c>
      <c r="S215" s="8">
        <v>9.760837753E9</v>
      </c>
      <c r="T215" s="8">
        <v>9.7981409E7</v>
      </c>
      <c r="U215" s="8">
        <v>4547276.0</v>
      </c>
      <c r="V215" s="23">
        <v>46093.0</v>
      </c>
      <c r="W215" s="32">
        <f t="shared" si="5"/>
        <v>46123</v>
      </c>
      <c r="X215" s="8" t="s">
        <v>215</v>
      </c>
      <c r="Y215" s="7" t="str">
        <f t="shared" si="2"/>
        <v>Active</v>
      </c>
      <c r="Z215" s="8">
        <f t="shared" si="3"/>
        <v>8</v>
      </c>
      <c r="AA215" s="7">
        <v>46239.0</v>
      </c>
      <c r="AB215" s="8" t="s">
        <v>1315</v>
      </c>
      <c r="AC215" s="8" t="s">
        <v>1316</v>
      </c>
      <c r="AD215" s="8"/>
      <c r="AE215" s="8"/>
      <c r="AF215" s="8"/>
      <c r="AG215" s="8"/>
      <c r="AH215" s="8"/>
      <c r="AI215" s="8"/>
      <c r="AJ215" s="8"/>
      <c r="AK215" s="24"/>
      <c r="AL215" s="7"/>
      <c r="AM215" s="22"/>
    </row>
    <row r="216" ht="22.5" customHeight="1">
      <c r="A216" s="7"/>
      <c r="B216" s="8" t="s">
        <v>1317</v>
      </c>
      <c r="C216" s="8"/>
      <c r="D216" s="8" t="s">
        <v>1318</v>
      </c>
      <c r="E216" s="8" t="s">
        <v>1319</v>
      </c>
      <c r="F216" s="8" t="s">
        <v>1296</v>
      </c>
      <c r="G216" s="8" t="s">
        <v>103</v>
      </c>
      <c r="H216" s="8" t="s">
        <v>1320</v>
      </c>
      <c r="I216" s="8" t="s">
        <v>45</v>
      </c>
      <c r="J216" s="8"/>
      <c r="K216" s="8" t="s">
        <v>1321</v>
      </c>
      <c r="L216" s="9" t="s">
        <v>1322</v>
      </c>
      <c r="M216" s="8">
        <v>9456.0</v>
      </c>
      <c r="N216" s="8"/>
      <c r="O216" s="8"/>
      <c r="P216" s="8"/>
      <c r="Q216" s="8" t="s">
        <v>48</v>
      </c>
      <c r="R216" s="13" t="s">
        <v>990</v>
      </c>
      <c r="S216" s="16" t="s">
        <v>1323</v>
      </c>
      <c r="T216" s="13">
        <v>1.539431E7</v>
      </c>
      <c r="U216" s="13">
        <v>1.5913602E7</v>
      </c>
      <c r="V216" s="23">
        <v>46090.0</v>
      </c>
      <c r="W216" s="32">
        <f t="shared" si="5"/>
        <v>46120</v>
      </c>
      <c r="X216" s="8" t="s">
        <v>215</v>
      </c>
      <c r="Y216" s="7" t="str">
        <f t="shared" si="2"/>
        <v>Active</v>
      </c>
      <c r="Z216" s="8">
        <f t="shared" si="3"/>
        <v>5</v>
      </c>
      <c r="AA216" s="8" t="s">
        <v>1324</v>
      </c>
      <c r="AB216" s="8" t="s">
        <v>1325</v>
      </c>
      <c r="AC216" s="8" t="s">
        <v>1326</v>
      </c>
      <c r="AD216" s="8"/>
      <c r="AE216" s="8"/>
      <c r="AF216" s="8"/>
      <c r="AG216" s="8"/>
      <c r="AH216" s="8"/>
      <c r="AI216" s="8"/>
      <c r="AJ216" s="8"/>
      <c r="AK216" s="24"/>
      <c r="AL216" s="7"/>
      <c r="AM216" s="22"/>
    </row>
    <row r="217" ht="22.5" customHeight="1">
      <c r="A217" s="7"/>
      <c r="B217" s="8" t="s">
        <v>1327</v>
      </c>
      <c r="C217" s="8"/>
      <c r="D217" s="8">
        <v>9.851154607E9</v>
      </c>
      <c r="E217" s="8" t="s">
        <v>1328</v>
      </c>
      <c r="F217" s="8" t="s">
        <v>1296</v>
      </c>
      <c r="G217" s="8" t="s">
        <v>103</v>
      </c>
      <c r="H217" s="8" t="s">
        <v>1329</v>
      </c>
      <c r="I217" s="8" t="s">
        <v>45</v>
      </c>
      <c r="J217" s="8"/>
      <c r="K217" s="8"/>
      <c r="L217" s="9"/>
      <c r="M217" s="8">
        <v>2546.0</v>
      </c>
      <c r="N217" s="8"/>
      <c r="O217" s="8"/>
      <c r="P217" s="8"/>
      <c r="Q217" s="8" t="s">
        <v>48</v>
      </c>
      <c r="R217" s="8" t="s">
        <v>1330</v>
      </c>
      <c r="S217" s="8">
        <v>9.760839176E9</v>
      </c>
      <c r="T217" s="8">
        <v>1.3621082E7</v>
      </c>
      <c r="U217" s="8">
        <v>2.5545252E7</v>
      </c>
      <c r="V217" s="23">
        <v>46069.0</v>
      </c>
      <c r="W217" s="32">
        <f t="shared" si="5"/>
        <v>46249</v>
      </c>
      <c r="X217" s="8" t="s">
        <v>63</v>
      </c>
      <c r="Y217" s="7" t="str">
        <f t="shared" si="2"/>
        <v>Active</v>
      </c>
      <c r="Z217" s="8">
        <f t="shared" si="3"/>
        <v>134</v>
      </c>
      <c r="AA217" s="7">
        <v>46249.0</v>
      </c>
      <c r="AB217" s="8" t="s">
        <v>1331</v>
      </c>
      <c r="AC217" s="8">
        <v>9.863177175E9</v>
      </c>
      <c r="AD217" s="8"/>
      <c r="AE217" s="8"/>
      <c r="AF217" s="8"/>
      <c r="AG217" s="8"/>
      <c r="AH217" s="8"/>
      <c r="AI217" s="8"/>
      <c r="AJ217" s="8"/>
      <c r="AK217" s="24"/>
      <c r="AL217" s="7"/>
      <c r="AM217" s="22"/>
    </row>
    <row r="218">
      <c r="B218" s="56" t="s">
        <v>1332</v>
      </c>
      <c r="D218" s="57">
        <v>9.851055833E9</v>
      </c>
      <c r="E218" s="56" t="s">
        <v>1333</v>
      </c>
      <c r="F218" s="56" t="s">
        <v>42</v>
      </c>
      <c r="G218" s="56" t="s">
        <v>103</v>
      </c>
      <c r="H218" s="56" t="s">
        <v>44</v>
      </c>
      <c r="I218" s="57" t="s">
        <v>319</v>
      </c>
      <c r="J218" s="57"/>
      <c r="K218" s="57" t="s">
        <v>1334</v>
      </c>
      <c r="L218" s="57" t="s">
        <v>758</v>
      </c>
      <c r="M218" s="56">
        <v>4022.0</v>
      </c>
      <c r="N218" s="56" t="s">
        <v>1335</v>
      </c>
      <c r="O218" s="56" t="s">
        <v>1336</v>
      </c>
      <c r="P218" s="56"/>
      <c r="Q218" s="56" t="s">
        <v>48</v>
      </c>
      <c r="R218" s="56" t="s">
        <v>1337</v>
      </c>
      <c r="S218" s="56">
        <v>9.7608392E9</v>
      </c>
      <c r="T218" s="56">
        <v>1.1415114E7</v>
      </c>
      <c r="V218" s="34">
        <v>45884.0</v>
      </c>
      <c r="W218" s="58">
        <f t="shared" si="5"/>
        <v>46249</v>
      </c>
      <c r="X218" s="59" t="s">
        <v>1338</v>
      </c>
      <c r="Y218" s="60" t="str">
        <f t="shared" si="2"/>
        <v>Active</v>
      </c>
      <c r="Z218" s="59">
        <f t="shared" si="3"/>
        <v>134</v>
      </c>
      <c r="AA218" s="34">
        <v>46246.0</v>
      </c>
      <c r="AB218" s="56" t="s">
        <v>1339</v>
      </c>
      <c r="AC218" s="56" t="s">
        <v>1340</v>
      </c>
    </row>
    <row r="219">
      <c r="B219" s="56" t="s">
        <v>1332</v>
      </c>
      <c r="D219" s="57">
        <v>9.851055833E9</v>
      </c>
      <c r="E219" s="56" t="s">
        <v>1341</v>
      </c>
      <c r="F219" s="56" t="s">
        <v>42</v>
      </c>
      <c r="G219" s="56" t="s">
        <v>103</v>
      </c>
      <c r="H219" s="56" t="s">
        <v>44</v>
      </c>
      <c r="I219" s="57" t="s">
        <v>319</v>
      </c>
      <c r="J219" s="57"/>
      <c r="K219" s="57" t="s">
        <v>1334</v>
      </c>
      <c r="L219" s="57" t="s">
        <v>758</v>
      </c>
      <c r="M219" s="56">
        <v>4021.0</v>
      </c>
      <c r="N219" s="56" t="s">
        <v>1342</v>
      </c>
      <c r="O219" s="56" t="s">
        <v>1343</v>
      </c>
      <c r="P219" s="56"/>
      <c r="Q219" s="56" t="s">
        <v>48</v>
      </c>
      <c r="R219" s="56" t="s">
        <v>1344</v>
      </c>
      <c r="S219" s="56">
        <v>9.760839195E9</v>
      </c>
      <c r="T219" s="56">
        <v>1.8582518E7</v>
      </c>
      <c r="V219" s="34">
        <v>45884.0</v>
      </c>
      <c r="W219" s="58">
        <f t="shared" si="5"/>
        <v>46249</v>
      </c>
      <c r="X219" s="59" t="s">
        <v>1338</v>
      </c>
      <c r="Y219" s="60" t="str">
        <f t="shared" si="2"/>
        <v>Active</v>
      </c>
      <c r="Z219" s="59">
        <f t="shared" si="3"/>
        <v>134</v>
      </c>
      <c r="AA219" s="34">
        <v>46246.0</v>
      </c>
      <c r="AB219" s="56" t="s">
        <v>1345</v>
      </c>
      <c r="AC219" s="56" t="s">
        <v>1346</v>
      </c>
    </row>
    <row r="220">
      <c r="B220" s="56" t="s">
        <v>1347</v>
      </c>
      <c r="D220" s="57">
        <v>9.842473148E9</v>
      </c>
      <c r="E220" s="56" t="s">
        <v>976</v>
      </c>
      <c r="F220" s="56" t="s">
        <v>42</v>
      </c>
      <c r="G220" s="56" t="s">
        <v>103</v>
      </c>
      <c r="H220" s="56" t="s">
        <v>715</v>
      </c>
      <c r="I220" s="57" t="s">
        <v>471</v>
      </c>
      <c r="J220" s="61"/>
      <c r="K220" s="61"/>
      <c r="L220" s="61"/>
      <c r="M220" s="56">
        <v>3308.0</v>
      </c>
      <c r="P220" s="56"/>
      <c r="Q220" s="56" t="s">
        <v>48</v>
      </c>
      <c r="R220" s="56" t="s">
        <v>1348</v>
      </c>
      <c r="S220" s="56">
        <v>9.760825695E9</v>
      </c>
      <c r="T220" s="56">
        <v>1.972714E7</v>
      </c>
      <c r="U220" s="56">
        <v>3.2021229E7</v>
      </c>
      <c r="V220" s="34">
        <v>45890.0</v>
      </c>
      <c r="W220" s="58">
        <f t="shared" si="5"/>
        <v>46070</v>
      </c>
      <c r="X220" s="59" t="s">
        <v>63</v>
      </c>
      <c r="Y220" s="60" t="str">
        <f t="shared" si="2"/>
        <v>Expired</v>
      </c>
      <c r="Z220" s="59">
        <f t="shared" si="3"/>
        <v>0</v>
      </c>
      <c r="AA220" s="34">
        <v>46070.0</v>
      </c>
      <c r="AB220" s="56" t="s">
        <v>1349</v>
      </c>
      <c r="AC220" s="56">
        <v>9.813251743E9</v>
      </c>
    </row>
    <row r="221">
      <c r="B221" s="56" t="s">
        <v>1350</v>
      </c>
      <c r="D221" s="57">
        <v>9.851090655E9</v>
      </c>
      <c r="E221" s="56" t="s">
        <v>1351</v>
      </c>
      <c r="F221" s="56" t="s">
        <v>1296</v>
      </c>
      <c r="G221" s="56" t="s">
        <v>103</v>
      </c>
      <c r="H221" s="56" t="s">
        <v>510</v>
      </c>
      <c r="I221" s="57" t="s">
        <v>425</v>
      </c>
      <c r="J221" s="57"/>
      <c r="K221" s="57">
        <v>9.851090655E9</v>
      </c>
      <c r="L221" s="57" t="s">
        <v>767</v>
      </c>
      <c r="M221" s="56">
        <v>9589.0</v>
      </c>
      <c r="N221" s="56" t="s">
        <v>1352</v>
      </c>
      <c r="O221" s="56" t="s">
        <v>1353</v>
      </c>
      <c r="P221" s="56"/>
      <c r="Q221" s="56" t="s">
        <v>48</v>
      </c>
      <c r="R221" s="56" t="s">
        <v>1354</v>
      </c>
      <c r="S221" s="56">
        <v>9.7608257E9</v>
      </c>
      <c r="T221" s="56">
        <v>2.8839143E7</v>
      </c>
      <c r="U221" s="56">
        <v>3.1648215E7</v>
      </c>
      <c r="V221" s="34">
        <v>46072.0</v>
      </c>
      <c r="W221" s="58">
        <f t="shared" si="5"/>
        <v>46252</v>
      </c>
      <c r="X221" s="59" t="s">
        <v>63</v>
      </c>
      <c r="Y221" s="60" t="str">
        <f t="shared" si="2"/>
        <v>Active</v>
      </c>
      <c r="Z221" s="59">
        <f t="shared" si="3"/>
        <v>137</v>
      </c>
      <c r="AA221" s="34">
        <v>46252.0</v>
      </c>
      <c r="AB221" s="56" t="s">
        <v>1355</v>
      </c>
      <c r="AC221" s="56" t="s">
        <v>1356</v>
      </c>
    </row>
    <row r="222">
      <c r="B222" s="56" t="s">
        <v>1357</v>
      </c>
      <c r="D222" s="57">
        <v>9.852834695E9</v>
      </c>
      <c r="E222" s="56" t="s">
        <v>1358</v>
      </c>
      <c r="F222" s="56" t="s">
        <v>1359</v>
      </c>
      <c r="G222" s="56" t="s">
        <v>103</v>
      </c>
      <c r="H222" s="56" t="s">
        <v>292</v>
      </c>
      <c r="I222" s="57" t="s">
        <v>221</v>
      </c>
      <c r="J222" s="57"/>
      <c r="K222" s="57" t="s">
        <v>1360</v>
      </c>
      <c r="L222" s="57" t="s">
        <v>1361</v>
      </c>
      <c r="M222" s="56">
        <v>9645.0</v>
      </c>
      <c r="N222" s="56" t="s">
        <v>1362</v>
      </c>
      <c r="O222" s="56" t="s">
        <v>1363</v>
      </c>
      <c r="P222" s="56"/>
      <c r="Q222" s="56" t="s">
        <v>48</v>
      </c>
      <c r="R222" s="56" t="s">
        <v>1364</v>
      </c>
      <c r="S222" s="56">
        <v>9.760825852E9</v>
      </c>
      <c r="T222" s="56">
        <v>2.2043187E7</v>
      </c>
      <c r="U222" s="56">
        <v>1.6535102E7</v>
      </c>
      <c r="V222" s="34">
        <v>45900.0</v>
      </c>
      <c r="W222" s="58">
        <f t="shared" si="5"/>
        <v>46080</v>
      </c>
      <c r="X222" s="59" t="s">
        <v>63</v>
      </c>
      <c r="Y222" s="60" t="str">
        <f t="shared" si="2"/>
        <v>Expired</v>
      </c>
      <c r="Z222" s="59">
        <f t="shared" si="3"/>
        <v>0</v>
      </c>
      <c r="AA222" s="34">
        <v>46080.0</v>
      </c>
      <c r="AB222" s="56" t="s">
        <v>1365</v>
      </c>
      <c r="AC222" s="56" t="s">
        <v>1366</v>
      </c>
    </row>
    <row r="223">
      <c r="B223" s="56" t="s">
        <v>1357</v>
      </c>
      <c r="D223" s="57">
        <v>9.852834695E9</v>
      </c>
      <c r="E223" s="56" t="s">
        <v>1367</v>
      </c>
      <c r="F223" s="56" t="s">
        <v>1359</v>
      </c>
      <c r="G223" s="56" t="s">
        <v>103</v>
      </c>
      <c r="H223" s="56" t="s">
        <v>292</v>
      </c>
      <c r="I223" s="57" t="s">
        <v>221</v>
      </c>
      <c r="J223" s="57"/>
      <c r="K223" s="57">
        <v>9.852834695E9</v>
      </c>
      <c r="L223" s="57" t="s">
        <v>382</v>
      </c>
      <c r="M223" s="56">
        <v>9646.0</v>
      </c>
      <c r="N223" s="56" t="s">
        <v>1368</v>
      </c>
      <c r="O223" s="56" t="s">
        <v>1369</v>
      </c>
      <c r="P223" s="56"/>
      <c r="Q223" s="56" t="s">
        <v>48</v>
      </c>
      <c r="R223" s="56" t="s">
        <v>1370</v>
      </c>
      <c r="S223" s="56">
        <v>9.760831012E9</v>
      </c>
      <c r="T223" s="56">
        <v>1.7807146E7</v>
      </c>
      <c r="U223" s="56">
        <v>2.8919319E7</v>
      </c>
      <c r="V223" s="34">
        <v>45900.0</v>
      </c>
      <c r="W223" s="58">
        <f t="shared" si="5"/>
        <v>46080</v>
      </c>
      <c r="X223" s="59" t="s">
        <v>63</v>
      </c>
      <c r="Y223" s="60" t="str">
        <f t="shared" si="2"/>
        <v>Expired</v>
      </c>
      <c r="Z223" s="59">
        <f t="shared" si="3"/>
        <v>0</v>
      </c>
      <c r="AA223" s="34">
        <v>46080.0</v>
      </c>
      <c r="AB223" s="56" t="s">
        <v>1371</v>
      </c>
      <c r="AC223" s="56" t="s">
        <v>1372</v>
      </c>
    </row>
    <row r="224">
      <c r="B224" s="56" t="s">
        <v>1373</v>
      </c>
      <c r="D224" s="57">
        <v>9.844252003E9</v>
      </c>
      <c r="E224" s="56" t="s">
        <v>1374</v>
      </c>
      <c r="F224" s="56" t="s">
        <v>42</v>
      </c>
      <c r="G224" s="56" t="s">
        <v>423</v>
      </c>
      <c r="H224" s="56" t="s">
        <v>1375</v>
      </c>
      <c r="I224" s="57" t="s">
        <v>1013</v>
      </c>
      <c r="J224" s="61"/>
      <c r="K224" s="61"/>
      <c r="L224" s="61"/>
      <c r="M224" s="56">
        <v>8741.0</v>
      </c>
      <c r="P224" s="56"/>
      <c r="Q224" s="56" t="s">
        <v>48</v>
      </c>
      <c r="R224" s="56" t="s">
        <v>1376</v>
      </c>
      <c r="T224" s="56">
        <v>1.7065269E7</v>
      </c>
      <c r="U224" s="56">
        <v>1.2580187E7</v>
      </c>
      <c r="V224" s="34">
        <v>45900.0</v>
      </c>
      <c r="W224" s="58">
        <f t="shared" si="5"/>
        <v>46080</v>
      </c>
      <c r="X224" s="59" t="s">
        <v>63</v>
      </c>
      <c r="Y224" s="60" t="str">
        <f t="shared" si="2"/>
        <v>Expired</v>
      </c>
      <c r="Z224" s="59">
        <f t="shared" si="3"/>
        <v>0</v>
      </c>
      <c r="AA224" s="34">
        <v>46080.0</v>
      </c>
      <c r="AB224" s="56" t="s">
        <v>1377</v>
      </c>
      <c r="AC224" s="56">
        <v>9.844252003E9</v>
      </c>
    </row>
    <row r="225">
      <c r="B225" s="56" t="s">
        <v>1378</v>
      </c>
      <c r="D225" s="57">
        <v>9.866459733E9</v>
      </c>
      <c r="E225" s="56" t="s">
        <v>1379</v>
      </c>
      <c r="F225" s="56" t="s">
        <v>42</v>
      </c>
      <c r="G225" s="56" t="s">
        <v>103</v>
      </c>
      <c r="H225" s="56" t="s">
        <v>1320</v>
      </c>
      <c r="I225" s="57" t="s">
        <v>45</v>
      </c>
      <c r="J225" s="61"/>
      <c r="K225" s="61"/>
      <c r="L225" s="61"/>
      <c r="M225" s="56">
        <v>9457.0</v>
      </c>
      <c r="P225" s="56"/>
      <c r="Q225" s="56" t="s">
        <v>48</v>
      </c>
      <c r="R225" s="62" t="s">
        <v>1380</v>
      </c>
      <c r="S225" s="63" t="s">
        <v>1381</v>
      </c>
      <c r="T225" s="62">
        <v>8.3980742E7</v>
      </c>
      <c r="U225" s="62">
        <v>6.2675554E7</v>
      </c>
      <c r="V225" s="34">
        <v>46088.0</v>
      </c>
      <c r="W225" s="58">
        <f t="shared" si="5"/>
        <v>46118</v>
      </c>
      <c r="X225" s="59" t="s">
        <v>215</v>
      </c>
      <c r="Y225" s="60" t="str">
        <f t="shared" si="2"/>
        <v>Active</v>
      </c>
      <c r="Z225" s="59">
        <f t="shared" si="3"/>
        <v>3</v>
      </c>
      <c r="AA225" s="34">
        <v>46145.0</v>
      </c>
      <c r="AB225" s="56" t="s">
        <v>1382</v>
      </c>
      <c r="AC225" s="56" t="s">
        <v>1383</v>
      </c>
    </row>
    <row r="226">
      <c r="B226" s="56" t="s">
        <v>1384</v>
      </c>
      <c r="D226" s="57" t="s">
        <v>1385</v>
      </c>
      <c r="E226" s="56" t="s">
        <v>1386</v>
      </c>
      <c r="F226" s="56" t="s">
        <v>42</v>
      </c>
      <c r="G226" s="56" t="s">
        <v>1012</v>
      </c>
      <c r="H226" s="56" t="s">
        <v>1387</v>
      </c>
      <c r="I226" s="57" t="s">
        <v>844</v>
      </c>
      <c r="J226" s="61"/>
      <c r="K226" s="61"/>
      <c r="L226" s="61"/>
      <c r="M226" s="56">
        <v>7589.0</v>
      </c>
      <c r="P226" s="56"/>
      <c r="Q226" s="56" t="s">
        <v>48</v>
      </c>
      <c r="R226" s="56" t="s">
        <v>1388</v>
      </c>
      <c r="T226" s="56">
        <v>2.6892103E7</v>
      </c>
      <c r="U226" s="56">
        <v>3.2328121E7</v>
      </c>
      <c r="V226" s="34">
        <v>45903.0</v>
      </c>
      <c r="W226" s="58">
        <f t="shared" si="5"/>
        <v>46083</v>
      </c>
      <c r="X226" s="59" t="s">
        <v>63</v>
      </c>
      <c r="Y226" s="60" t="str">
        <f t="shared" si="2"/>
        <v>Expired</v>
      </c>
      <c r="Z226" s="59">
        <f t="shared" si="3"/>
        <v>0</v>
      </c>
      <c r="AA226" s="34"/>
      <c r="AB226" s="56" t="s">
        <v>1389</v>
      </c>
      <c r="AC226" s="56">
        <v>9.85507721E9</v>
      </c>
    </row>
    <row r="227">
      <c r="B227" s="59" t="s">
        <v>1327</v>
      </c>
      <c r="C227" s="59"/>
      <c r="D227" s="59">
        <v>9.851154607E9</v>
      </c>
      <c r="E227" s="59" t="s">
        <v>1328</v>
      </c>
      <c r="F227" s="59" t="s">
        <v>1296</v>
      </c>
      <c r="G227" s="59" t="s">
        <v>103</v>
      </c>
      <c r="H227" s="59" t="s">
        <v>1329</v>
      </c>
      <c r="I227" s="64" t="s">
        <v>45</v>
      </c>
      <c r="J227" s="65"/>
      <c r="K227" s="65"/>
      <c r="L227" s="65"/>
      <c r="M227" s="56">
        <v>2547.0</v>
      </c>
      <c r="P227" s="56"/>
      <c r="Q227" s="56" t="s">
        <v>48</v>
      </c>
      <c r="R227" s="66" t="s">
        <v>1390</v>
      </c>
      <c r="S227" s="56">
        <v>9.760837704E9</v>
      </c>
      <c r="T227" s="56">
        <v>2.6629361E7</v>
      </c>
      <c r="V227" s="34">
        <v>46069.0</v>
      </c>
      <c r="W227" s="58">
        <f t="shared" si="5"/>
        <v>46249</v>
      </c>
      <c r="X227" s="59" t="s">
        <v>63</v>
      </c>
      <c r="Y227" s="60" t="str">
        <f t="shared" si="2"/>
        <v>Active</v>
      </c>
      <c r="Z227" s="59">
        <f t="shared" si="3"/>
        <v>134</v>
      </c>
      <c r="AA227" s="34">
        <v>46066.0</v>
      </c>
      <c r="AB227" s="56" t="s">
        <v>1391</v>
      </c>
      <c r="AC227" s="56" t="s">
        <v>1392</v>
      </c>
    </row>
    <row r="228">
      <c r="B228" s="59" t="s">
        <v>1393</v>
      </c>
      <c r="C228" s="67"/>
      <c r="D228" s="64">
        <v>9.851239643E9</v>
      </c>
      <c r="E228" s="59" t="s">
        <v>1394</v>
      </c>
      <c r="F228" s="59" t="s">
        <v>42</v>
      </c>
      <c r="G228" s="59" t="s">
        <v>103</v>
      </c>
      <c r="H228" s="59" t="s">
        <v>292</v>
      </c>
      <c r="I228" s="64" t="s">
        <v>45</v>
      </c>
      <c r="J228" s="64"/>
      <c r="K228" s="64">
        <v>9.851239643E9</v>
      </c>
      <c r="L228" s="64" t="s">
        <v>723</v>
      </c>
      <c r="M228" s="56">
        <v>9403.0</v>
      </c>
      <c r="P228" s="56"/>
      <c r="Q228" s="56" t="s">
        <v>48</v>
      </c>
      <c r="R228" s="56" t="s">
        <v>1395</v>
      </c>
      <c r="T228" s="56">
        <v>2.3626271E7</v>
      </c>
      <c r="U228" s="56">
        <v>3.1959233E7</v>
      </c>
      <c r="V228" s="34">
        <v>45907.0</v>
      </c>
      <c r="W228" s="58">
        <f t="shared" si="5"/>
        <v>45937</v>
      </c>
      <c r="X228" s="56" t="s">
        <v>137</v>
      </c>
      <c r="Y228" s="60" t="str">
        <f t="shared" si="2"/>
        <v>Expired</v>
      </c>
      <c r="Z228" s="59">
        <f t="shared" si="3"/>
        <v>0</v>
      </c>
      <c r="AB228" s="56" t="s">
        <v>1396</v>
      </c>
      <c r="AC228" s="56" t="s">
        <v>1397</v>
      </c>
    </row>
    <row r="229">
      <c r="B229" s="59" t="s">
        <v>1398</v>
      </c>
      <c r="C229" s="59" t="s">
        <v>40</v>
      </c>
      <c r="D229" s="64">
        <v>9.800912121E9</v>
      </c>
      <c r="E229" s="59" t="s">
        <v>1399</v>
      </c>
      <c r="F229" s="59" t="s">
        <v>1359</v>
      </c>
      <c r="G229" s="59" t="s">
        <v>103</v>
      </c>
      <c r="H229" s="59" t="s">
        <v>470</v>
      </c>
      <c r="I229" s="64" t="s">
        <v>471</v>
      </c>
      <c r="J229" s="65"/>
      <c r="K229" s="64" t="s">
        <v>1400</v>
      </c>
      <c r="L229" s="64" t="s">
        <v>263</v>
      </c>
      <c r="M229" s="56">
        <v>1105.0</v>
      </c>
      <c r="N229" s="56" t="s">
        <v>1401</v>
      </c>
      <c r="O229" s="56" t="s">
        <v>1402</v>
      </c>
      <c r="P229" s="56"/>
      <c r="Q229" s="56" t="s">
        <v>48</v>
      </c>
      <c r="R229" s="56" t="s">
        <v>1403</v>
      </c>
      <c r="S229" s="56">
        <v>9.760844886E9</v>
      </c>
      <c r="T229" s="56">
        <v>2.859022E7</v>
      </c>
      <c r="U229" s="56">
        <v>1.0990194E7</v>
      </c>
      <c r="V229" s="34">
        <v>45923.0</v>
      </c>
      <c r="W229" s="58">
        <f t="shared" si="5"/>
        <v>46288</v>
      </c>
      <c r="X229" s="56" t="s">
        <v>76</v>
      </c>
      <c r="Y229" s="60" t="str">
        <f t="shared" si="2"/>
        <v>Active</v>
      </c>
      <c r="Z229" s="59">
        <f t="shared" si="3"/>
        <v>173</v>
      </c>
      <c r="AA229" s="34">
        <v>46103.0</v>
      </c>
      <c r="AB229" s="56" t="s">
        <v>1404</v>
      </c>
      <c r="AC229" s="56" t="s">
        <v>1405</v>
      </c>
    </row>
    <row r="230">
      <c r="B230" s="59" t="s">
        <v>1398</v>
      </c>
      <c r="C230" s="59" t="s">
        <v>40</v>
      </c>
      <c r="D230" s="64">
        <v>9.800912121E9</v>
      </c>
      <c r="E230" s="59" t="s">
        <v>1406</v>
      </c>
      <c r="F230" s="59" t="s">
        <v>1359</v>
      </c>
      <c r="G230" s="59" t="s">
        <v>103</v>
      </c>
      <c r="H230" s="59" t="s">
        <v>470</v>
      </c>
      <c r="I230" s="64" t="s">
        <v>471</v>
      </c>
      <c r="J230" s="65"/>
      <c r="K230" s="64" t="s">
        <v>1400</v>
      </c>
      <c r="L230" s="64" t="s">
        <v>263</v>
      </c>
      <c r="M230" s="56">
        <v>1106.0</v>
      </c>
      <c r="N230" s="56" t="s">
        <v>1407</v>
      </c>
      <c r="O230" s="56" t="s">
        <v>1408</v>
      </c>
      <c r="P230" s="56"/>
      <c r="Q230" s="56" t="s">
        <v>48</v>
      </c>
      <c r="R230" s="56" t="s">
        <v>1409</v>
      </c>
      <c r="T230" s="56">
        <v>6.6982399E7</v>
      </c>
      <c r="U230" s="56">
        <v>2.5454169E7</v>
      </c>
      <c r="V230" s="34">
        <v>45923.0</v>
      </c>
      <c r="W230" s="58">
        <f t="shared" si="5"/>
        <v>46288</v>
      </c>
      <c r="X230" s="56" t="s">
        <v>76</v>
      </c>
      <c r="Y230" s="60" t="str">
        <f t="shared" si="2"/>
        <v>Active</v>
      </c>
      <c r="Z230" s="59">
        <f t="shared" si="3"/>
        <v>173</v>
      </c>
      <c r="AB230" s="56" t="s">
        <v>1410</v>
      </c>
      <c r="AC230" s="56" t="s">
        <v>1411</v>
      </c>
    </row>
    <row r="231">
      <c r="B231" s="56" t="s">
        <v>1412</v>
      </c>
      <c r="C231" s="56" t="s">
        <v>40</v>
      </c>
      <c r="D231" s="57">
        <v>9.844222474E9</v>
      </c>
      <c r="E231" s="56" t="s">
        <v>1413</v>
      </c>
      <c r="F231" s="56" t="s">
        <v>42</v>
      </c>
      <c r="G231" s="56" t="s">
        <v>103</v>
      </c>
      <c r="H231" s="56" t="s">
        <v>1414</v>
      </c>
      <c r="I231" s="64" t="s">
        <v>45</v>
      </c>
      <c r="J231" s="61"/>
      <c r="K231" s="57" t="s">
        <v>1415</v>
      </c>
      <c r="L231" s="57" t="s">
        <v>1416</v>
      </c>
      <c r="M231" s="56">
        <v>1682.0</v>
      </c>
      <c r="N231" s="56" t="s">
        <v>1417</v>
      </c>
      <c r="O231" s="56" t="s">
        <v>1418</v>
      </c>
      <c r="P231" s="56"/>
      <c r="Q231" s="56" t="s">
        <v>48</v>
      </c>
      <c r="R231" s="56" t="s">
        <v>1419</v>
      </c>
      <c r="S231" s="56">
        <v>9.760842866E9</v>
      </c>
      <c r="T231" s="56">
        <v>3.1580125E7</v>
      </c>
      <c r="U231" s="56">
        <v>1.8615955E7</v>
      </c>
      <c r="V231" s="34">
        <v>46088.0</v>
      </c>
      <c r="W231" s="58">
        <f t="shared" si="5"/>
        <v>46118</v>
      </c>
      <c r="X231" s="56" t="s">
        <v>215</v>
      </c>
      <c r="Y231" s="60" t="str">
        <f t="shared" si="2"/>
        <v>Active</v>
      </c>
      <c r="Z231" s="59">
        <f t="shared" si="3"/>
        <v>3</v>
      </c>
      <c r="AA231" s="34">
        <v>46268.0</v>
      </c>
      <c r="AB231" s="56" t="s">
        <v>1420</v>
      </c>
      <c r="AC231" s="56" t="s">
        <v>1421</v>
      </c>
    </row>
    <row r="232">
      <c r="B232" s="56" t="s">
        <v>1422</v>
      </c>
      <c r="C232" s="56" t="s">
        <v>230</v>
      </c>
      <c r="D232" s="57">
        <v>9.807875923E9</v>
      </c>
      <c r="E232" s="56" t="s">
        <v>1423</v>
      </c>
      <c r="F232" s="56" t="s">
        <v>1359</v>
      </c>
      <c r="G232" s="56" t="s">
        <v>103</v>
      </c>
      <c r="H232" s="56" t="s">
        <v>232</v>
      </c>
      <c r="I232" s="64" t="s">
        <v>45</v>
      </c>
      <c r="J232" s="61"/>
      <c r="K232" s="57" t="s">
        <v>1027</v>
      </c>
      <c r="L232" s="57" t="s">
        <v>1028</v>
      </c>
      <c r="M232" s="56">
        <v>9687.0</v>
      </c>
      <c r="N232" s="56" t="s">
        <v>1424</v>
      </c>
      <c r="O232" s="56" t="s">
        <v>1425</v>
      </c>
      <c r="P232" s="56"/>
      <c r="Q232" s="56" t="s">
        <v>48</v>
      </c>
      <c r="R232" s="56" t="s">
        <v>1426</v>
      </c>
      <c r="S232" s="56">
        <v>9.760844356E9</v>
      </c>
      <c r="T232" s="56">
        <v>2.1516692E7</v>
      </c>
      <c r="U232" s="56">
        <v>7.0331423E7</v>
      </c>
      <c r="V232" s="34">
        <v>45919.0</v>
      </c>
      <c r="W232" s="58">
        <f t="shared" si="5"/>
        <v>46284</v>
      </c>
      <c r="X232" s="56" t="s">
        <v>76</v>
      </c>
      <c r="Y232" s="60" t="str">
        <f t="shared" si="2"/>
        <v>Active</v>
      </c>
      <c r="Z232" s="59">
        <f t="shared" si="3"/>
        <v>169</v>
      </c>
      <c r="AA232" s="34">
        <v>46280.0</v>
      </c>
      <c r="AB232" s="56" t="s">
        <v>1427</v>
      </c>
      <c r="AC232" s="56" t="s">
        <v>1428</v>
      </c>
    </row>
    <row r="233">
      <c r="B233" s="56" t="s">
        <v>1422</v>
      </c>
      <c r="C233" s="56" t="s">
        <v>230</v>
      </c>
      <c r="D233" s="57">
        <v>9.807875923E9</v>
      </c>
      <c r="E233" s="56" t="s">
        <v>1423</v>
      </c>
      <c r="F233" s="56" t="s">
        <v>1359</v>
      </c>
      <c r="G233" s="56" t="s">
        <v>103</v>
      </c>
      <c r="H233" s="56" t="s">
        <v>232</v>
      </c>
      <c r="I233" s="64" t="s">
        <v>45</v>
      </c>
      <c r="J233" s="61"/>
      <c r="K233" s="57" t="s">
        <v>1027</v>
      </c>
      <c r="L233" s="57" t="s">
        <v>1028</v>
      </c>
      <c r="M233" s="56">
        <v>9689.0</v>
      </c>
      <c r="N233" s="56" t="s">
        <v>1429</v>
      </c>
      <c r="P233" s="56"/>
      <c r="Q233" s="56" t="s">
        <v>48</v>
      </c>
      <c r="R233" s="56" t="s">
        <v>1430</v>
      </c>
      <c r="S233" s="56">
        <v>9.760842967E9</v>
      </c>
      <c r="T233" s="56">
        <v>2.1869633E7</v>
      </c>
      <c r="U233" s="56">
        <v>2.1969744E7</v>
      </c>
      <c r="V233" s="34">
        <v>45919.0</v>
      </c>
      <c r="W233" s="58">
        <f t="shared" si="5"/>
        <v>46284</v>
      </c>
      <c r="X233" s="56" t="s">
        <v>76</v>
      </c>
      <c r="Y233" s="60" t="str">
        <f t="shared" si="2"/>
        <v>Active</v>
      </c>
      <c r="Z233" s="59">
        <f t="shared" si="3"/>
        <v>169</v>
      </c>
      <c r="AA233" s="34">
        <v>46280.0</v>
      </c>
      <c r="AB233" s="56" t="s">
        <v>1431</v>
      </c>
      <c r="AC233" s="56" t="s">
        <v>1432</v>
      </c>
    </row>
    <row r="234">
      <c r="B234" s="56" t="s">
        <v>1433</v>
      </c>
      <c r="C234" s="56" t="s">
        <v>1434</v>
      </c>
      <c r="D234" s="57">
        <v>9.804761524E9</v>
      </c>
      <c r="E234" s="56" t="s">
        <v>1435</v>
      </c>
      <c r="F234" s="56" t="s">
        <v>42</v>
      </c>
      <c r="G234" s="56" t="s">
        <v>1012</v>
      </c>
      <c r="H234" s="56" t="s">
        <v>782</v>
      </c>
      <c r="I234" s="57" t="s">
        <v>1436</v>
      </c>
      <c r="J234" s="61"/>
      <c r="K234" s="57" t="s">
        <v>1437</v>
      </c>
      <c r="L234" s="57" t="s">
        <v>1438</v>
      </c>
      <c r="M234" s="56">
        <v>8753.0</v>
      </c>
      <c r="P234" s="56"/>
      <c r="Q234" s="56" t="s">
        <v>48</v>
      </c>
      <c r="R234" s="56" t="s">
        <v>1439</v>
      </c>
      <c r="S234" s="56">
        <v>9.760831757E9</v>
      </c>
      <c r="T234" s="56">
        <v>2.7086728E7</v>
      </c>
      <c r="V234" s="34">
        <v>45908.0</v>
      </c>
      <c r="W234" s="58">
        <f t="shared" si="5"/>
        <v>46088</v>
      </c>
      <c r="X234" s="56" t="s">
        <v>63</v>
      </c>
      <c r="Y234" s="60" t="str">
        <f t="shared" si="2"/>
        <v>Expired</v>
      </c>
      <c r="Z234" s="59">
        <f t="shared" si="3"/>
        <v>0</v>
      </c>
      <c r="AB234" s="56" t="s">
        <v>1440</v>
      </c>
      <c r="AC234" s="56" t="s">
        <v>1441</v>
      </c>
    </row>
    <row r="235">
      <c r="B235" s="56" t="s">
        <v>1442</v>
      </c>
      <c r="C235" s="56" t="s">
        <v>1443</v>
      </c>
      <c r="D235" s="59">
        <v>9.849724751E9</v>
      </c>
      <c r="E235" s="56" t="s">
        <v>1444</v>
      </c>
      <c r="F235" s="56" t="s">
        <v>1445</v>
      </c>
      <c r="G235" s="56" t="s">
        <v>1012</v>
      </c>
      <c r="H235" s="56" t="s">
        <v>1290</v>
      </c>
      <c r="I235" s="57" t="s">
        <v>1446</v>
      </c>
      <c r="J235" s="61"/>
      <c r="K235" s="59">
        <v>9.849724751E9</v>
      </c>
      <c r="L235" s="57" t="s">
        <v>1292</v>
      </c>
      <c r="M235" s="56">
        <v>7362.0</v>
      </c>
      <c r="P235" s="56"/>
      <c r="Q235" s="56" t="s">
        <v>48</v>
      </c>
      <c r="R235" s="56" t="s">
        <v>1447</v>
      </c>
      <c r="S235" s="56">
        <v>9.760843329E9</v>
      </c>
      <c r="T235" s="56">
        <v>1.5232256E7</v>
      </c>
      <c r="U235" s="56">
        <v>2.9022439E7</v>
      </c>
      <c r="V235" s="34">
        <v>45924.0</v>
      </c>
      <c r="W235" s="58">
        <f t="shared" si="5"/>
        <v>46104</v>
      </c>
      <c r="X235" s="56" t="s">
        <v>63</v>
      </c>
      <c r="Y235" s="60" t="str">
        <f t="shared" si="2"/>
        <v>Expired</v>
      </c>
      <c r="Z235" s="59">
        <f t="shared" si="3"/>
        <v>0</v>
      </c>
      <c r="AA235" s="68">
        <f>V235+180</f>
        <v>46104</v>
      </c>
      <c r="AB235" s="56" t="s">
        <v>1448</v>
      </c>
      <c r="AC235" s="56">
        <v>9.869011251E9</v>
      </c>
    </row>
    <row r="236">
      <c r="B236" s="56" t="s">
        <v>1449</v>
      </c>
      <c r="C236" s="56" t="s">
        <v>468</v>
      </c>
      <c r="D236" s="57">
        <v>9.840378306E9</v>
      </c>
      <c r="E236" s="56" t="s">
        <v>1450</v>
      </c>
      <c r="F236" s="56" t="s">
        <v>1359</v>
      </c>
      <c r="G236" s="56" t="s">
        <v>103</v>
      </c>
      <c r="H236" s="56" t="s">
        <v>470</v>
      </c>
      <c r="I236" s="64" t="s">
        <v>45</v>
      </c>
      <c r="J236" s="61"/>
      <c r="K236" s="57" t="s">
        <v>1451</v>
      </c>
      <c r="L236" s="57" t="s">
        <v>1452</v>
      </c>
      <c r="M236" s="56">
        <v>8673.0</v>
      </c>
      <c r="P236" s="56"/>
      <c r="Q236" s="56" t="s">
        <v>48</v>
      </c>
      <c r="R236" s="56" t="s">
        <v>1453</v>
      </c>
      <c r="S236" s="56">
        <v>9.76084496E9</v>
      </c>
      <c r="T236" s="56">
        <v>3.1526211E7</v>
      </c>
      <c r="V236" s="34">
        <v>45922.0</v>
      </c>
      <c r="W236" s="58">
        <f t="shared" si="5"/>
        <v>46287</v>
      </c>
      <c r="X236" s="56" t="s">
        <v>76</v>
      </c>
      <c r="Y236" s="60" t="str">
        <f t="shared" si="2"/>
        <v>Active</v>
      </c>
      <c r="Z236" s="59">
        <f t="shared" si="3"/>
        <v>172</v>
      </c>
      <c r="AA236" s="34">
        <v>46283.0</v>
      </c>
      <c r="AB236" s="56" t="s">
        <v>1454</v>
      </c>
      <c r="AC236" s="56" t="s">
        <v>1455</v>
      </c>
    </row>
    <row r="237">
      <c r="B237" s="56" t="s">
        <v>1449</v>
      </c>
      <c r="C237" s="56" t="s">
        <v>468</v>
      </c>
      <c r="D237" s="57">
        <v>9.840378306E9</v>
      </c>
      <c r="E237" s="56" t="s">
        <v>1450</v>
      </c>
      <c r="F237" s="56" t="s">
        <v>1359</v>
      </c>
      <c r="G237" s="56" t="s">
        <v>103</v>
      </c>
      <c r="H237" s="56" t="s">
        <v>470</v>
      </c>
      <c r="I237" s="64" t="s">
        <v>45</v>
      </c>
      <c r="J237" s="61"/>
      <c r="K237" s="57" t="s">
        <v>1451</v>
      </c>
      <c r="L237" s="57" t="s">
        <v>1452</v>
      </c>
      <c r="M237" s="56">
        <v>8672.0</v>
      </c>
      <c r="P237" s="56"/>
      <c r="Q237" s="56" t="s">
        <v>48</v>
      </c>
      <c r="R237" s="56" t="s">
        <v>1456</v>
      </c>
      <c r="S237" s="56">
        <v>9.760844353E9</v>
      </c>
      <c r="T237" s="56">
        <v>2.541248E7</v>
      </c>
      <c r="U237" s="56"/>
      <c r="V237" s="34">
        <v>45922.0</v>
      </c>
      <c r="W237" s="58">
        <f t="shared" si="5"/>
        <v>46287</v>
      </c>
      <c r="X237" s="56" t="s">
        <v>76</v>
      </c>
      <c r="Y237" s="60" t="str">
        <f t="shared" si="2"/>
        <v>Active</v>
      </c>
      <c r="Z237" s="59">
        <f t="shared" si="3"/>
        <v>172</v>
      </c>
      <c r="AA237" s="34">
        <v>46283.0</v>
      </c>
      <c r="AB237" s="56" t="s">
        <v>1457</v>
      </c>
      <c r="AC237" s="56" t="s">
        <v>1458</v>
      </c>
    </row>
    <row r="238">
      <c r="B238" s="56" t="s">
        <v>1459</v>
      </c>
      <c r="C238" s="56" t="s">
        <v>68</v>
      </c>
      <c r="D238" s="69"/>
      <c r="E238" s="56" t="s">
        <v>1460</v>
      </c>
      <c r="F238" s="56" t="s">
        <v>1445</v>
      </c>
      <c r="G238" s="56" t="s">
        <v>103</v>
      </c>
      <c r="H238" s="56" t="s">
        <v>70</v>
      </c>
      <c r="I238" s="64" t="s">
        <v>45</v>
      </c>
      <c r="J238" s="61"/>
      <c r="K238" s="57" t="s">
        <v>1461</v>
      </c>
      <c r="L238" s="57" t="s">
        <v>1462</v>
      </c>
      <c r="M238" s="56">
        <v>2903.0</v>
      </c>
      <c r="N238" s="56" t="s">
        <v>1463</v>
      </c>
      <c r="O238" s="56" t="s">
        <v>1464</v>
      </c>
      <c r="P238" s="56"/>
      <c r="Q238" s="56" t="s">
        <v>48</v>
      </c>
      <c r="R238" s="56" t="s">
        <v>1465</v>
      </c>
      <c r="S238" s="56">
        <v>9.760843944E9</v>
      </c>
      <c r="T238" s="56">
        <v>2.3064312E7</v>
      </c>
      <c r="U238" s="56">
        <v>3.0854245E7</v>
      </c>
      <c r="V238" s="34">
        <v>46082.0</v>
      </c>
      <c r="W238" s="58">
        <f t="shared" si="5"/>
        <v>46112</v>
      </c>
      <c r="X238" s="56" t="s">
        <v>137</v>
      </c>
      <c r="Y238" s="60" t="str">
        <f t="shared" si="2"/>
        <v>Expired</v>
      </c>
      <c r="Z238" s="59">
        <f t="shared" si="3"/>
        <v>0</v>
      </c>
      <c r="AA238" s="34">
        <v>46199.0</v>
      </c>
      <c r="AB238" s="56" t="s">
        <v>1466</v>
      </c>
      <c r="AC238" s="56" t="s">
        <v>1467</v>
      </c>
    </row>
    <row r="239">
      <c r="B239" s="56" t="s">
        <v>1459</v>
      </c>
      <c r="C239" s="56" t="s">
        <v>68</v>
      </c>
      <c r="D239" s="69"/>
      <c r="E239" s="56" t="s">
        <v>1460</v>
      </c>
      <c r="F239" s="56" t="s">
        <v>1445</v>
      </c>
      <c r="G239" s="56" t="s">
        <v>103</v>
      </c>
      <c r="H239" s="56" t="s">
        <v>70</v>
      </c>
      <c r="I239" s="64" t="s">
        <v>45</v>
      </c>
      <c r="J239" s="61"/>
      <c r="K239" s="57" t="s">
        <v>1461</v>
      </c>
      <c r="L239" s="57" t="s">
        <v>1462</v>
      </c>
      <c r="M239" s="56">
        <v>879.0</v>
      </c>
      <c r="P239" s="56"/>
      <c r="Q239" s="56" t="s">
        <v>48</v>
      </c>
      <c r="R239" s="56" t="s">
        <v>1468</v>
      </c>
      <c r="S239" s="56">
        <v>9.712006502E9</v>
      </c>
      <c r="T239" s="70">
        <v>4555.0</v>
      </c>
      <c r="U239" s="70">
        <v>8252.0</v>
      </c>
      <c r="V239" s="34">
        <v>46103.0</v>
      </c>
      <c r="W239" s="58">
        <f t="shared" si="5"/>
        <v>46131</v>
      </c>
      <c r="X239" s="56" t="s">
        <v>98</v>
      </c>
      <c r="Y239" s="60" t="str">
        <f t="shared" si="2"/>
        <v>Active</v>
      </c>
      <c r="Z239" s="59">
        <f t="shared" si="3"/>
        <v>16</v>
      </c>
      <c r="AA239" s="34">
        <v>46102.0</v>
      </c>
      <c r="AB239" s="56" t="s">
        <v>1469</v>
      </c>
      <c r="AC239" s="56" t="s">
        <v>1470</v>
      </c>
    </row>
    <row r="240">
      <c r="B240" s="56" t="s">
        <v>1471</v>
      </c>
      <c r="C240" s="56" t="s">
        <v>1472</v>
      </c>
      <c r="D240" s="56">
        <v>9.858750314E9</v>
      </c>
      <c r="E240" s="56" t="s">
        <v>1473</v>
      </c>
      <c r="F240" s="56" t="s">
        <v>1445</v>
      </c>
      <c r="G240" s="56" t="s">
        <v>103</v>
      </c>
      <c r="H240" s="56" t="s">
        <v>1474</v>
      </c>
      <c r="I240" s="57" t="s">
        <v>45</v>
      </c>
      <c r="J240" s="61"/>
      <c r="K240" s="57" t="s">
        <v>1475</v>
      </c>
      <c r="L240" s="57" t="s">
        <v>1476</v>
      </c>
      <c r="M240" s="56">
        <v>1505.0</v>
      </c>
      <c r="P240" s="56"/>
      <c r="Q240" s="56" t="s">
        <v>74</v>
      </c>
      <c r="W240" s="71" t="str">
        <f t="shared" si="5"/>
        <v/>
      </c>
      <c r="X240" s="56" t="s">
        <v>76</v>
      </c>
      <c r="Y240" s="60" t="str">
        <f t="shared" si="2"/>
        <v>Expired</v>
      </c>
      <c r="Z240" s="59">
        <f t="shared" si="3"/>
        <v>0</v>
      </c>
      <c r="AB240" s="56" t="s">
        <v>1477</v>
      </c>
    </row>
    <row r="241">
      <c r="B241" s="56" t="s">
        <v>1478</v>
      </c>
      <c r="C241" s="56" t="s">
        <v>1479</v>
      </c>
      <c r="D241" s="57">
        <v>9.857831092E9</v>
      </c>
      <c r="E241" s="56" t="s">
        <v>1480</v>
      </c>
      <c r="F241" s="56" t="s">
        <v>42</v>
      </c>
      <c r="G241" s="56" t="s">
        <v>103</v>
      </c>
      <c r="H241" s="56" t="s">
        <v>1481</v>
      </c>
      <c r="I241" s="64" t="s">
        <v>45</v>
      </c>
      <c r="J241" s="61"/>
      <c r="K241" s="57" t="s">
        <v>1482</v>
      </c>
      <c r="L241" s="57" t="s">
        <v>1483</v>
      </c>
      <c r="M241" s="56">
        <v>451.0</v>
      </c>
      <c r="P241" s="56"/>
      <c r="Q241" s="56" t="s">
        <v>48</v>
      </c>
      <c r="R241" s="56" t="s">
        <v>1484</v>
      </c>
      <c r="S241" s="56">
        <v>9.760845023E9</v>
      </c>
      <c r="T241" s="56">
        <v>1.4922206E7</v>
      </c>
      <c r="U241" s="56">
        <v>2.1632968E7</v>
      </c>
      <c r="V241" s="34">
        <v>45936.0</v>
      </c>
      <c r="W241" s="58">
        <f t="shared" si="5"/>
        <v>46026</v>
      </c>
      <c r="X241" s="56" t="s">
        <v>150</v>
      </c>
      <c r="Y241" s="60" t="str">
        <f t="shared" si="2"/>
        <v>Expired</v>
      </c>
      <c r="Z241" s="59">
        <f t="shared" si="3"/>
        <v>0</v>
      </c>
      <c r="AA241" s="34">
        <v>46116.0</v>
      </c>
      <c r="AB241" s="56" t="s">
        <v>1485</v>
      </c>
      <c r="AC241" s="56" t="s">
        <v>1486</v>
      </c>
    </row>
    <row r="242">
      <c r="B242" s="56" t="s">
        <v>1487</v>
      </c>
      <c r="C242" s="56" t="s">
        <v>1479</v>
      </c>
      <c r="D242" s="57">
        <v>9.857832886E9</v>
      </c>
      <c r="E242" s="56" t="s">
        <v>1480</v>
      </c>
      <c r="F242" s="56" t="s">
        <v>42</v>
      </c>
      <c r="G242" s="56" t="s">
        <v>103</v>
      </c>
      <c r="H242" s="56" t="s">
        <v>1481</v>
      </c>
      <c r="I242" s="64" t="s">
        <v>45</v>
      </c>
      <c r="J242" s="61"/>
      <c r="K242" s="57" t="s">
        <v>1488</v>
      </c>
      <c r="L242" s="57" t="s">
        <v>1489</v>
      </c>
      <c r="M242" s="56">
        <v>450.0</v>
      </c>
      <c r="P242" s="56"/>
      <c r="Q242" s="56" t="s">
        <v>48</v>
      </c>
      <c r="R242" s="56" t="s">
        <v>1490</v>
      </c>
      <c r="S242" s="56">
        <v>9.760843597E9</v>
      </c>
      <c r="T242" s="56">
        <v>1.8314305E7</v>
      </c>
      <c r="U242" s="56">
        <v>6.2002796E7</v>
      </c>
      <c r="V242" s="34">
        <v>45936.0</v>
      </c>
      <c r="W242" s="58">
        <f t="shared" si="5"/>
        <v>46026</v>
      </c>
      <c r="X242" s="56" t="s">
        <v>150</v>
      </c>
      <c r="Y242" s="60" t="str">
        <f t="shared" si="2"/>
        <v>Expired</v>
      </c>
      <c r="Z242" s="59">
        <f t="shared" si="3"/>
        <v>0</v>
      </c>
      <c r="AA242" s="34">
        <v>46116.0</v>
      </c>
      <c r="AB242" s="56" t="s">
        <v>1491</v>
      </c>
      <c r="AC242" s="56" t="s">
        <v>1492</v>
      </c>
    </row>
    <row r="243">
      <c r="B243" s="56" t="s">
        <v>1493</v>
      </c>
      <c r="C243" s="56" t="s">
        <v>1479</v>
      </c>
      <c r="D243" s="57">
        <v>9.847811238E9</v>
      </c>
      <c r="E243" s="56" t="s">
        <v>1480</v>
      </c>
      <c r="F243" s="56" t="s">
        <v>42</v>
      </c>
      <c r="G243" s="56" t="s">
        <v>103</v>
      </c>
      <c r="H243" s="56" t="s">
        <v>1481</v>
      </c>
      <c r="I243" s="64" t="s">
        <v>45</v>
      </c>
      <c r="J243" s="61"/>
      <c r="K243" s="57" t="s">
        <v>1494</v>
      </c>
      <c r="L243" s="57" t="s">
        <v>1495</v>
      </c>
      <c r="M243" s="56">
        <v>452.0</v>
      </c>
      <c r="N243" s="56" t="s">
        <v>1496</v>
      </c>
      <c r="O243" s="56" t="s">
        <v>1497</v>
      </c>
      <c r="P243" s="56"/>
      <c r="Q243" s="56" t="s">
        <v>48</v>
      </c>
      <c r="R243" s="66" t="s">
        <v>1498</v>
      </c>
      <c r="S243" s="56">
        <v>9.760843582E9</v>
      </c>
      <c r="V243" s="34">
        <v>45936.0</v>
      </c>
      <c r="W243" s="58">
        <f t="shared" si="5"/>
        <v>46301</v>
      </c>
      <c r="X243" s="56" t="s">
        <v>76</v>
      </c>
      <c r="Y243" s="60" t="str">
        <f t="shared" si="2"/>
        <v>Active</v>
      </c>
      <c r="Z243" s="59">
        <f t="shared" si="3"/>
        <v>186</v>
      </c>
      <c r="AA243" s="34">
        <v>46116.0</v>
      </c>
      <c r="AB243" s="56" t="s">
        <v>1499</v>
      </c>
      <c r="AC243" s="56" t="s">
        <v>1500</v>
      </c>
    </row>
    <row r="244">
      <c r="B244" s="56" t="s">
        <v>1501</v>
      </c>
      <c r="C244" s="56" t="s">
        <v>1479</v>
      </c>
      <c r="D244" s="57">
        <v>9.857830501E9</v>
      </c>
      <c r="E244" s="56" t="s">
        <v>1480</v>
      </c>
      <c r="F244" s="56" t="s">
        <v>42</v>
      </c>
      <c r="G244" s="56" t="s">
        <v>103</v>
      </c>
      <c r="H244" s="56" t="s">
        <v>1481</v>
      </c>
      <c r="I244" s="64" t="s">
        <v>45</v>
      </c>
      <c r="J244" s="61"/>
      <c r="K244" s="57" t="s">
        <v>1502</v>
      </c>
      <c r="L244" s="57" t="s">
        <v>1503</v>
      </c>
      <c r="M244" s="56">
        <v>453.0</v>
      </c>
      <c r="N244" s="56" t="s">
        <v>1504</v>
      </c>
      <c r="O244" s="56" t="s">
        <v>1505</v>
      </c>
      <c r="P244" s="56"/>
      <c r="Q244" s="56" t="s">
        <v>48</v>
      </c>
      <c r="R244" s="56" t="s">
        <v>1506</v>
      </c>
      <c r="V244" s="34">
        <v>45936.0</v>
      </c>
      <c r="W244" s="58">
        <f t="shared" si="5"/>
        <v>46116</v>
      </c>
      <c r="X244" s="56" t="s">
        <v>50</v>
      </c>
      <c r="Y244" s="60" t="str">
        <f t="shared" si="2"/>
        <v>Active</v>
      </c>
      <c r="Z244" s="59">
        <f t="shared" si="3"/>
        <v>1</v>
      </c>
      <c r="AB244" s="56" t="s">
        <v>1507</v>
      </c>
      <c r="AC244" s="56" t="s">
        <v>1508</v>
      </c>
    </row>
    <row r="245">
      <c r="B245" s="56" t="s">
        <v>1509</v>
      </c>
      <c r="C245" s="56" t="s">
        <v>40</v>
      </c>
      <c r="D245" s="57">
        <v>9.851068316E9</v>
      </c>
      <c r="E245" s="56" t="s">
        <v>1510</v>
      </c>
      <c r="F245" s="56" t="s">
        <v>1359</v>
      </c>
      <c r="G245" s="56" t="s">
        <v>103</v>
      </c>
      <c r="H245" s="56" t="s">
        <v>715</v>
      </c>
      <c r="I245" s="64" t="s">
        <v>45</v>
      </c>
      <c r="J245" s="61"/>
      <c r="K245" s="57" t="s">
        <v>1511</v>
      </c>
      <c r="L245" s="57" t="s">
        <v>1512</v>
      </c>
      <c r="M245" s="56">
        <v>94.0</v>
      </c>
      <c r="N245" s="56" t="s">
        <v>1513</v>
      </c>
      <c r="O245" s="56" t="s">
        <v>1514</v>
      </c>
      <c r="P245" s="56"/>
      <c r="Q245" s="56" t="s">
        <v>48</v>
      </c>
      <c r="R245" s="56" t="s">
        <v>1515</v>
      </c>
      <c r="S245" s="56">
        <v>9.760825799E9</v>
      </c>
      <c r="T245" s="56">
        <v>8.8095181E7</v>
      </c>
      <c r="U245" s="56">
        <v>1.8991185E7</v>
      </c>
      <c r="V245" s="34">
        <v>45937.0</v>
      </c>
      <c r="W245" s="58">
        <f t="shared" si="5"/>
        <v>46302</v>
      </c>
      <c r="X245" s="56" t="s">
        <v>76</v>
      </c>
      <c r="Y245" s="60" t="str">
        <f t="shared" si="2"/>
        <v>Active</v>
      </c>
      <c r="Z245" s="59">
        <f t="shared" si="3"/>
        <v>187</v>
      </c>
      <c r="AA245" s="34">
        <v>46117.0</v>
      </c>
      <c r="AB245" s="56" t="s">
        <v>1516</v>
      </c>
      <c r="AC245" s="56" t="s">
        <v>1517</v>
      </c>
    </row>
    <row r="246">
      <c r="B246" s="56" t="s">
        <v>1509</v>
      </c>
      <c r="C246" s="56" t="s">
        <v>40</v>
      </c>
      <c r="D246" s="57">
        <v>9.851068316E9</v>
      </c>
      <c r="E246" s="56" t="s">
        <v>1510</v>
      </c>
      <c r="F246" s="56" t="s">
        <v>1445</v>
      </c>
      <c r="G246" s="56" t="s">
        <v>103</v>
      </c>
      <c r="H246" s="56" t="s">
        <v>715</v>
      </c>
      <c r="I246" s="64" t="s">
        <v>45</v>
      </c>
      <c r="J246" s="61"/>
      <c r="K246" s="57" t="s">
        <v>1511</v>
      </c>
      <c r="L246" s="57" t="s">
        <v>1512</v>
      </c>
      <c r="M246" s="56">
        <v>95.0</v>
      </c>
      <c r="N246" s="56"/>
      <c r="O246" s="56"/>
      <c r="P246" s="56"/>
      <c r="Q246" s="56" t="s">
        <v>48</v>
      </c>
      <c r="R246" s="56"/>
      <c r="U246" s="34"/>
      <c r="W246" s="71" t="str">
        <f t="shared" si="5"/>
        <v/>
      </c>
      <c r="X246" s="56" t="s">
        <v>76</v>
      </c>
      <c r="Y246" s="60" t="str">
        <f t="shared" si="2"/>
        <v>Expired</v>
      </c>
      <c r="Z246" s="59">
        <f t="shared" si="3"/>
        <v>0</v>
      </c>
      <c r="AB246" s="56" t="s">
        <v>1518</v>
      </c>
      <c r="AC246" s="56" t="s">
        <v>1519</v>
      </c>
    </row>
    <row r="247">
      <c r="B247" s="56" t="s">
        <v>1520</v>
      </c>
      <c r="C247" s="56" t="s">
        <v>1521</v>
      </c>
      <c r="D247" s="69"/>
      <c r="E247" s="56" t="s">
        <v>1522</v>
      </c>
      <c r="F247" s="56" t="s">
        <v>1359</v>
      </c>
      <c r="G247" s="56" t="s">
        <v>103</v>
      </c>
      <c r="H247" s="56" t="s">
        <v>532</v>
      </c>
      <c r="I247" s="57" t="s">
        <v>1523</v>
      </c>
      <c r="J247" s="61"/>
      <c r="K247" s="57" t="s">
        <v>570</v>
      </c>
      <c r="L247" s="57" t="s">
        <v>571</v>
      </c>
      <c r="M247" s="56">
        <v>1111.0</v>
      </c>
      <c r="N247" s="56" t="s">
        <v>1524</v>
      </c>
      <c r="O247" s="56" t="s">
        <v>1525</v>
      </c>
      <c r="P247" s="56"/>
      <c r="Q247" s="56" t="s">
        <v>48</v>
      </c>
      <c r="R247" s="56" t="s">
        <v>1526</v>
      </c>
      <c r="S247" s="56">
        <v>9.760845031E9</v>
      </c>
      <c r="T247" s="56">
        <v>1.0532776E7</v>
      </c>
      <c r="U247" s="56">
        <v>1.5011028E7</v>
      </c>
      <c r="V247" s="34">
        <v>45929.0</v>
      </c>
      <c r="W247" s="58">
        <f t="shared" si="5"/>
        <v>46294</v>
      </c>
      <c r="X247" s="56" t="s">
        <v>76</v>
      </c>
      <c r="Y247" s="60" t="str">
        <f t="shared" si="2"/>
        <v>Active</v>
      </c>
      <c r="Z247" s="59">
        <f t="shared" si="3"/>
        <v>179</v>
      </c>
      <c r="AA247" s="34">
        <v>46291.0</v>
      </c>
      <c r="AB247" s="56" t="s">
        <v>1527</v>
      </c>
      <c r="AC247" s="56" t="s">
        <v>1528</v>
      </c>
    </row>
    <row r="248">
      <c r="B248" s="56" t="s">
        <v>1529</v>
      </c>
      <c r="C248" s="56" t="s">
        <v>40</v>
      </c>
      <c r="D248" s="57">
        <v>9.851134736E9</v>
      </c>
      <c r="E248" s="56" t="s">
        <v>447</v>
      </c>
      <c r="F248" s="56" t="s">
        <v>1359</v>
      </c>
      <c r="G248" s="56" t="s">
        <v>103</v>
      </c>
      <c r="H248" s="56" t="s">
        <v>715</v>
      </c>
      <c r="I248" s="57" t="s">
        <v>1530</v>
      </c>
      <c r="J248" s="61"/>
      <c r="K248" s="57" t="s">
        <v>1531</v>
      </c>
      <c r="L248" s="57" t="s">
        <v>1532</v>
      </c>
      <c r="M248" s="56">
        <v>9850.0</v>
      </c>
      <c r="P248" s="56"/>
      <c r="Q248" s="56" t="s">
        <v>48</v>
      </c>
      <c r="R248" s="56" t="s">
        <v>1533</v>
      </c>
      <c r="S248" s="56">
        <v>9.760844101E9</v>
      </c>
      <c r="T248" s="56">
        <v>1.7012299E7</v>
      </c>
      <c r="V248" s="34">
        <v>45926.0</v>
      </c>
      <c r="W248" s="58">
        <f t="shared" si="5"/>
        <v>46291</v>
      </c>
      <c r="X248" s="56" t="s">
        <v>76</v>
      </c>
      <c r="Y248" s="60" t="str">
        <f t="shared" si="2"/>
        <v>Active</v>
      </c>
      <c r="Z248" s="59">
        <f t="shared" si="3"/>
        <v>176</v>
      </c>
      <c r="AA248" s="34">
        <v>46106.0</v>
      </c>
      <c r="AB248" s="56" t="s">
        <v>1534</v>
      </c>
      <c r="AC248" s="56" t="s">
        <v>1535</v>
      </c>
    </row>
    <row r="249">
      <c r="B249" s="56" t="s">
        <v>1536</v>
      </c>
      <c r="C249" s="56" t="s">
        <v>40</v>
      </c>
      <c r="D249" s="57">
        <v>9.851184171E9</v>
      </c>
      <c r="E249" s="56" t="s">
        <v>411</v>
      </c>
      <c r="F249" s="56" t="s">
        <v>1445</v>
      </c>
      <c r="G249" s="56" t="s">
        <v>103</v>
      </c>
      <c r="H249" s="56" t="s">
        <v>715</v>
      </c>
      <c r="I249" s="64" t="s">
        <v>45</v>
      </c>
      <c r="J249" s="61"/>
      <c r="K249" s="57" t="s">
        <v>1537</v>
      </c>
      <c r="L249" s="57" t="s">
        <v>1538</v>
      </c>
      <c r="M249" s="56">
        <v>3417.0</v>
      </c>
      <c r="P249" s="56"/>
      <c r="Q249" s="56" t="s">
        <v>48</v>
      </c>
      <c r="R249" s="56" t="s">
        <v>1539</v>
      </c>
      <c r="S249" s="56">
        <v>9.760845356E9</v>
      </c>
      <c r="T249" s="56">
        <v>2.4149312E7</v>
      </c>
      <c r="U249" s="56">
        <v>2.7771175E7</v>
      </c>
      <c r="V249" s="34">
        <v>45939.0</v>
      </c>
      <c r="W249" s="58">
        <f t="shared" si="5"/>
        <v>46119</v>
      </c>
      <c r="X249" s="56" t="s">
        <v>50</v>
      </c>
      <c r="Y249" s="60" t="str">
        <f t="shared" si="2"/>
        <v>Active</v>
      </c>
      <c r="Z249" s="59">
        <f t="shared" si="3"/>
        <v>4</v>
      </c>
      <c r="AA249" s="34">
        <v>46119.0</v>
      </c>
      <c r="AB249" s="56" t="s">
        <v>1540</v>
      </c>
      <c r="AC249" s="56">
        <v>9.851184171E9</v>
      </c>
      <c r="AH249" s="56">
        <v>9.817928994E9</v>
      </c>
    </row>
    <row r="250">
      <c r="B250" s="56" t="s">
        <v>1536</v>
      </c>
      <c r="C250" s="56" t="s">
        <v>40</v>
      </c>
      <c r="D250" s="57">
        <v>9.851184171E9</v>
      </c>
      <c r="E250" s="56" t="s">
        <v>411</v>
      </c>
      <c r="F250" s="56" t="s">
        <v>1445</v>
      </c>
      <c r="G250" s="56" t="s">
        <v>103</v>
      </c>
      <c r="H250" s="56" t="s">
        <v>715</v>
      </c>
      <c r="I250" s="64" t="s">
        <v>45</v>
      </c>
      <c r="J250" s="61"/>
      <c r="K250" s="57" t="s">
        <v>1537</v>
      </c>
      <c r="L250" s="57" t="s">
        <v>1538</v>
      </c>
      <c r="M250" s="56">
        <v>3418.0</v>
      </c>
      <c r="P250" s="56"/>
      <c r="Q250" s="56" t="s">
        <v>48</v>
      </c>
      <c r="R250" s="56"/>
      <c r="W250" s="71" t="str">
        <f t="shared" si="5"/>
        <v/>
      </c>
      <c r="X250" s="56" t="s">
        <v>50</v>
      </c>
      <c r="Y250" s="60" t="str">
        <f t="shared" si="2"/>
        <v>Expired</v>
      </c>
      <c r="Z250" s="59">
        <f t="shared" si="3"/>
        <v>0</v>
      </c>
      <c r="AB250" s="56" t="s">
        <v>1541</v>
      </c>
      <c r="AC250" s="56">
        <v>9.851184171E9</v>
      </c>
    </row>
    <row r="251">
      <c r="B251" s="56" t="s">
        <v>1529</v>
      </c>
      <c r="C251" s="56" t="s">
        <v>40</v>
      </c>
      <c r="D251" s="57">
        <v>9.851134736E9</v>
      </c>
      <c r="E251" s="56" t="s">
        <v>447</v>
      </c>
      <c r="F251" s="56" t="s">
        <v>1359</v>
      </c>
      <c r="G251" s="56" t="s">
        <v>103</v>
      </c>
      <c r="H251" s="56" t="s">
        <v>715</v>
      </c>
      <c r="I251" s="57" t="s">
        <v>1542</v>
      </c>
      <c r="J251" s="61"/>
      <c r="K251" s="57" t="s">
        <v>1531</v>
      </c>
      <c r="L251" s="57" t="s">
        <v>1532</v>
      </c>
      <c r="M251" s="56">
        <v>9851.0</v>
      </c>
      <c r="P251" s="56"/>
      <c r="Q251" s="56" t="s">
        <v>48</v>
      </c>
      <c r="R251" s="56" t="s">
        <v>1543</v>
      </c>
      <c r="S251" s="56">
        <v>9.760845281E9</v>
      </c>
      <c r="T251" s="56">
        <v>2.1858233E7</v>
      </c>
      <c r="V251" s="34">
        <v>45926.0</v>
      </c>
      <c r="W251" s="58">
        <f t="shared" si="5"/>
        <v>46291</v>
      </c>
      <c r="X251" s="56" t="s">
        <v>76</v>
      </c>
      <c r="Y251" s="60" t="str">
        <f t="shared" si="2"/>
        <v>Active</v>
      </c>
      <c r="Z251" s="59">
        <f t="shared" si="3"/>
        <v>176</v>
      </c>
      <c r="AA251" s="34">
        <v>46106.0</v>
      </c>
      <c r="AB251" s="56" t="s">
        <v>1544</v>
      </c>
      <c r="AC251" s="56" t="s">
        <v>1535</v>
      </c>
    </row>
    <row r="252">
      <c r="B252" s="56" t="s">
        <v>1545</v>
      </c>
      <c r="C252" s="56" t="s">
        <v>40</v>
      </c>
      <c r="D252" s="57">
        <v>9.851083673E9</v>
      </c>
      <c r="E252" s="56" t="s">
        <v>808</v>
      </c>
      <c r="F252" s="56" t="s">
        <v>1359</v>
      </c>
      <c r="G252" s="56" t="s">
        <v>103</v>
      </c>
      <c r="H252" s="56" t="s">
        <v>292</v>
      </c>
      <c r="I252" s="64" t="s">
        <v>45</v>
      </c>
      <c r="J252" s="61"/>
      <c r="K252" s="57" t="s">
        <v>1546</v>
      </c>
      <c r="L252" s="57" t="s">
        <v>1547</v>
      </c>
      <c r="M252" s="56">
        <v>4199.0</v>
      </c>
      <c r="P252" s="56"/>
      <c r="Q252" s="56" t="s">
        <v>48</v>
      </c>
      <c r="R252" s="56" t="s">
        <v>1548</v>
      </c>
      <c r="S252" s="56">
        <v>9.760843802E9</v>
      </c>
      <c r="T252" s="56">
        <v>2.2591323E7</v>
      </c>
      <c r="U252" s="56">
        <v>2.2276298E7</v>
      </c>
      <c r="V252" s="34">
        <v>45928.0</v>
      </c>
      <c r="W252" s="58">
        <f t="shared" si="5"/>
        <v>46293</v>
      </c>
      <c r="X252" s="56" t="s">
        <v>76</v>
      </c>
      <c r="Y252" s="60" t="str">
        <f t="shared" si="2"/>
        <v>Active</v>
      </c>
      <c r="Z252" s="59">
        <f t="shared" si="3"/>
        <v>178</v>
      </c>
      <c r="AA252" s="34">
        <v>46108.0</v>
      </c>
      <c r="AB252" s="56" t="s">
        <v>1549</v>
      </c>
      <c r="AC252" s="56" t="s">
        <v>1550</v>
      </c>
    </row>
    <row r="253">
      <c r="B253" s="56" t="s">
        <v>1545</v>
      </c>
      <c r="C253" s="56" t="s">
        <v>40</v>
      </c>
      <c r="D253" s="57">
        <v>9.851083673E9</v>
      </c>
      <c r="E253" s="56" t="s">
        <v>808</v>
      </c>
      <c r="F253" s="56" t="s">
        <v>1359</v>
      </c>
      <c r="G253" s="56" t="s">
        <v>103</v>
      </c>
      <c r="H253" s="56" t="s">
        <v>292</v>
      </c>
      <c r="I253" s="64" t="s">
        <v>45</v>
      </c>
      <c r="J253" s="61"/>
      <c r="K253" s="57" t="s">
        <v>1546</v>
      </c>
      <c r="L253" s="57" t="s">
        <v>1547</v>
      </c>
      <c r="M253" s="56">
        <v>4197.0</v>
      </c>
      <c r="N253" s="56"/>
      <c r="O253" s="56"/>
      <c r="P253" s="56"/>
      <c r="Q253" s="56" t="s">
        <v>48</v>
      </c>
      <c r="R253" s="56"/>
      <c r="T253" s="56"/>
      <c r="U253" s="56"/>
      <c r="V253" s="34">
        <v>45928.0</v>
      </c>
      <c r="W253" s="58">
        <f t="shared" si="5"/>
        <v>46293</v>
      </c>
      <c r="X253" s="56" t="s">
        <v>76</v>
      </c>
      <c r="Y253" s="60" t="str">
        <f t="shared" si="2"/>
        <v>Active</v>
      </c>
      <c r="Z253" s="59">
        <f t="shared" si="3"/>
        <v>178</v>
      </c>
      <c r="AA253" s="34">
        <v>46108.0</v>
      </c>
      <c r="AB253" s="56" t="s">
        <v>1551</v>
      </c>
      <c r="AC253" s="56"/>
    </row>
    <row r="254">
      <c r="B254" s="56" t="s">
        <v>1552</v>
      </c>
      <c r="C254" s="56" t="s">
        <v>195</v>
      </c>
      <c r="D254" s="57">
        <v>9.855084555E9</v>
      </c>
      <c r="E254" s="56" t="s">
        <v>1553</v>
      </c>
      <c r="F254" s="56" t="s">
        <v>1359</v>
      </c>
      <c r="G254" s="56" t="s">
        <v>103</v>
      </c>
      <c r="H254" s="56" t="s">
        <v>1554</v>
      </c>
      <c r="I254" s="57" t="s">
        <v>195</v>
      </c>
      <c r="J254" s="61"/>
      <c r="K254" s="57" t="s">
        <v>211</v>
      </c>
      <c r="L254" s="57" t="s">
        <v>212</v>
      </c>
      <c r="M254" s="56">
        <v>495.0</v>
      </c>
      <c r="N254" s="56" t="s">
        <v>1555</v>
      </c>
      <c r="O254" s="56" t="s">
        <v>1556</v>
      </c>
      <c r="P254" s="56"/>
      <c r="Q254" s="56" t="s">
        <v>48</v>
      </c>
      <c r="R254" s="56" t="s">
        <v>1557</v>
      </c>
      <c r="S254" s="56">
        <v>9.760825786E9</v>
      </c>
      <c r="T254" s="56">
        <v>1.5171155E7</v>
      </c>
      <c r="U254" s="56">
        <v>2.3728327E7</v>
      </c>
      <c r="V254" s="34">
        <v>45944.0</v>
      </c>
      <c r="W254" s="58">
        <f t="shared" si="5"/>
        <v>46309</v>
      </c>
      <c r="X254" s="56" t="s">
        <v>76</v>
      </c>
      <c r="Y254" s="60" t="str">
        <f t="shared" si="2"/>
        <v>Active</v>
      </c>
      <c r="Z254" s="59">
        <f t="shared" si="3"/>
        <v>194</v>
      </c>
      <c r="AA254" s="34">
        <v>46124.0</v>
      </c>
      <c r="AB254" s="56" t="s">
        <v>1558</v>
      </c>
      <c r="AC254" s="56">
        <v>9.855084555E9</v>
      </c>
    </row>
    <row r="255">
      <c r="B255" s="56" t="s">
        <v>1559</v>
      </c>
      <c r="C255" s="56" t="s">
        <v>195</v>
      </c>
      <c r="D255" s="57">
        <v>9.855046101E9</v>
      </c>
      <c r="E255" s="56" t="s">
        <v>1560</v>
      </c>
      <c r="F255" s="56" t="s">
        <v>1359</v>
      </c>
      <c r="G255" s="56" t="s">
        <v>103</v>
      </c>
      <c r="H255" s="56" t="s">
        <v>1069</v>
      </c>
      <c r="I255" s="57" t="s">
        <v>195</v>
      </c>
      <c r="J255" s="61"/>
      <c r="K255" s="57">
        <v>9.766259372E9</v>
      </c>
      <c r="L255" s="57" t="s">
        <v>1561</v>
      </c>
      <c r="M255" s="56">
        <v>563.0</v>
      </c>
      <c r="N255" s="56" t="s">
        <v>1562</v>
      </c>
      <c r="O255" s="56" t="s">
        <v>1563</v>
      </c>
      <c r="P255" s="56"/>
      <c r="Q255" s="56" t="s">
        <v>48</v>
      </c>
      <c r="R255" s="56" t="s">
        <v>1564</v>
      </c>
      <c r="S255" s="56">
        <v>9.760844971E9</v>
      </c>
      <c r="T255" s="56">
        <v>3.0083207E7</v>
      </c>
      <c r="U255" s="56">
        <v>2.7818876E7</v>
      </c>
      <c r="V255" s="34">
        <v>45965.0</v>
      </c>
      <c r="W255" s="58">
        <f t="shared" si="5"/>
        <v>46330</v>
      </c>
      <c r="X255" s="56" t="s">
        <v>76</v>
      </c>
      <c r="Y255" s="60" t="str">
        <f t="shared" si="2"/>
        <v>Active</v>
      </c>
      <c r="Z255" s="59">
        <f t="shared" si="3"/>
        <v>215</v>
      </c>
      <c r="AA255" s="34">
        <v>46145.0</v>
      </c>
      <c r="AB255" s="56" t="s">
        <v>1565</v>
      </c>
      <c r="AC255" s="56">
        <v>9.855046101E9</v>
      </c>
    </row>
    <row r="256">
      <c r="B256" s="56" t="s">
        <v>1140</v>
      </c>
      <c r="C256" s="56" t="s">
        <v>40</v>
      </c>
      <c r="D256" s="57">
        <v>9.85100045E9</v>
      </c>
      <c r="E256" s="56" t="s">
        <v>1141</v>
      </c>
      <c r="F256" s="56" t="s">
        <v>1445</v>
      </c>
      <c r="G256" s="56" t="s">
        <v>103</v>
      </c>
      <c r="H256" s="56" t="s">
        <v>461</v>
      </c>
      <c r="I256" s="57" t="s">
        <v>45</v>
      </c>
      <c r="J256" s="61"/>
      <c r="K256" s="57" t="s">
        <v>1566</v>
      </c>
      <c r="L256" s="57" t="s">
        <v>1567</v>
      </c>
      <c r="M256" s="56">
        <v>9811.0</v>
      </c>
      <c r="P256" s="56"/>
      <c r="Q256" s="56" t="s">
        <v>48</v>
      </c>
      <c r="R256" s="56" t="s">
        <v>1568</v>
      </c>
      <c r="T256" s="56">
        <v>5.481222E7</v>
      </c>
      <c r="U256" s="56">
        <v>6.3762402E7</v>
      </c>
      <c r="V256" s="34">
        <v>45940.0</v>
      </c>
      <c r="W256" s="58">
        <f t="shared" si="5"/>
        <v>46305</v>
      </c>
      <c r="X256" s="56" t="s">
        <v>76</v>
      </c>
      <c r="Y256" s="60" t="str">
        <f t="shared" si="2"/>
        <v>Active</v>
      </c>
      <c r="Z256" s="59">
        <f t="shared" si="3"/>
        <v>190</v>
      </c>
      <c r="AA256" s="34">
        <v>46120.0</v>
      </c>
      <c r="AB256" s="56" t="s">
        <v>1569</v>
      </c>
      <c r="AC256" s="56" t="s">
        <v>1570</v>
      </c>
      <c r="AH256" s="56">
        <v>9.811701772E9</v>
      </c>
    </row>
    <row r="257">
      <c r="B257" s="56" t="s">
        <v>1140</v>
      </c>
      <c r="C257" s="56" t="s">
        <v>40</v>
      </c>
      <c r="D257" s="57">
        <v>9.85100045E9</v>
      </c>
      <c r="E257" s="56" t="s">
        <v>1141</v>
      </c>
      <c r="F257" s="56" t="s">
        <v>1445</v>
      </c>
      <c r="G257" s="56" t="s">
        <v>103</v>
      </c>
      <c r="H257" s="56" t="s">
        <v>461</v>
      </c>
      <c r="I257" s="57" t="s">
        <v>45</v>
      </c>
      <c r="J257" s="61"/>
      <c r="K257" s="57" t="s">
        <v>1566</v>
      </c>
      <c r="L257" s="57" t="s">
        <v>1567</v>
      </c>
      <c r="M257" s="56">
        <v>9812.0</v>
      </c>
      <c r="P257" s="56"/>
      <c r="Q257" s="56" t="s">
        <v>48</v>
      </c>
      <c r="R257" s="56" t="s">
        <v>1571</v>
      </c>
      <c r="W257" s="71" t="str">
        <f t="shared" si="5"/>
        <v/>
      </c>
      <c r="X257" s="56" t="s">
        <v>76</v>
      </c>
      <c r="Y257" s="60" t="str">
        <f t="shared" si="2"/>
        <v>Expired</v>
      </c>
      <c r="Z257" s="59">
        <f t="shared" si="3"/>
        <v>0</v>
      </c>
      <c r="AB257" s="56" t="s">
        <v>1572</v>
      </c>
      <c r="AC257" s="56" t="s">
        <v>1573</v>
      </c>
      <c r="AH257" s="56">
        <v>9.81870378E8</v>
      </c>
    </row>
    <row r="258">
      <c r="B258" s="59" t="s">
        <v>1574</v>
      </c>
      <c r="C258" s="59" t="s">
        <v>421</v>
      </c>
      <c r="D258" s="64">
        <v>9.851060191E9</v>
      </c>
      <c r="E258" s="59" t="s">
        <v>1575</v>
      </c>
      <c r="F258" s="59" t="s">
        <v>42</v>
      </c>
      <c r="G258" s="59" t="s">
        <v>1012</v>
      </c>
      <c r="H258" s="59" t="s">
        <v>1576</v>
      </c>
      <c r="I258" s="64" t="s">
        <v>1577</v>
      </c>
      <c r="J258" s="61"/>
      <c r="K258" s="61"/>
      <c r="L258" s="61"/>
      <c r="M258" s="56">
        <v>473.0</v>
      </c>
      <c r="P258" s="56"/>
      <c r="Q258" s="56" t="s">
        <v>74</v>
      </c>
      <c r="R258" s="56" t="s">
        <v>1578</v>
      </c>
      <c r="S258" s="56">
        <v>9.760829192E9</v>
      </c>
      <c r="T258" s="56">
        <v>2.7391756E7</v>
      </c>
      <c r="V258" s="34">
        <v>46030.0</v>
      </c>
      <c r="W258" s="58">
        <f t="shared" si="5"/>
        <v>46210</v>
      </c>
      <c r="X258" s="56" t="s">
        <v>63</v>
      </c>
      <c r="Y258" s="60" t="str">
        <f t="shared" si="2"/>
        <v>Active</v>
      </c>
      <c r="Z258" s="59">
        <f t="shared" si="3"/>
        <v>95</v>
      </c>
      <c r="AA258" s="34">
        <v>46209.0</v>
      </c>
      <c r="AB258" s="56" t="s">
        <v>1579</v>
      </c>
      <c r="AC258" s="56" t="s">
        <v>1580</v>
      </c>
    </row>
    <row r="259">
      <c r="B259" s="59" t="s">
        <v>1581</v>
      </c>
      <c r="C259" s="59" t="s">
        <v>850</v>
      </c>
      <c r="D259" s="64">
        <v>9.854042243E9</v>
      </c>
      <c r="E259" s="59" t="s">
        <v>1582</v>
      </c>
      <c r="F259" s="59" t="s">
        <v>1445</v>
      </c>
      <c r="G259" s="59" t="s">
        <v>103</v>
      </c>
      <c r="H259" s="59" t="s">
        <v>715</v>
      </c>
      <c r="I259" s="64" t="s">
        <v>1158</v>
      </c>
      <c r="J259" s="61"/>
      <c r="K259" s="57" t="s">
        <v>1583</v>
      </c>
      <c r="L259" s="57" t="s">
        <v>1584</v>
      </c>
      <c r="M259" s="56">
        <v>9883.0</v>
      </c>
      <c r="P259" s="56"/>
      <c r="Q259" s="56" t="s">
        <v>48</v>
      </c>
      <c r="R259" s="56" t="s">
        <v>1585</v>
      </c>
      <c r="S259" s="56">
        <v>9.760825985E9</v>
      </c>
      <c r="T259" s="56">
        <v>1.5351554E7</v>
      </c>
      <c r="U259" s="56">
        <v>2.3231671E7</v>
      </c>
      <c r="V259" s="34">
        <v>45943.0</v>
      </c>
      <c r="W259" s="58">
        <f t="shared" si="5"/>
        <v>46308</v>
      </c>
      <c r="X259" s="56" t="s">
        <v>76</v>
      </c>
      <c r="Y259" s="60" t="str">
        <f t="shared" si="2"/>
        <v>Active</v>
      </c>
      <c r="Z259" s="59">
        <f t="shared" si="3"/>
        <v>193</v>
      </c>
      <c r="AA259" s="34">
        <v>46123.0</v>
      </c>
      <c r="AB259" s="56" t="s">
        <v>1586</v>
      </c>
    </row>
    <row r="260">
      <c r="B260" s="59" t="s">
        <v>1581</v>
      </c>
      <c r="C260" s="59" t="s">
        <v>850</v>
      </c>
      <c r="D260" s="64">
        <v>9.854042243E9</v>
      </c>
      <c r="E260" s="59" t="s">
        <v>1582</v>
      </c>
      <c r="F260" s="59" t="s">
        <v>1445</v>
      </c>
      <c r="G260" s="59" t="s">
        <v>103</v>
      </c>
      <c r="H260" s="59" t="s">
        <v>715</v>
      </c>
      <c r="I260" s="64" t="s">
        <v>1158</v>
      </c>
      <c r="J260" s="61"/>
      <c r="K260" s="57" t="s">
        <v>1583</v>
      </c>
      <c r="L260" s="57" t="s">
        <v>1584</v>
      </c>
      <c r="M260" s="56">
        <v>9884.0</v>
      </c>
      <c r="P260" s="56"/>
      <c r="Q260" s="56" t="s">
        <v>48</v>
      </c>
      <c r="R260" s="56" t="s">
        <v>1587</v>
      </c>
      <c r="S260" s="56">
        <v>9.760844351E9</v>
      </c>
      <c r="T260" s="56">
        <v>1.6971933E7</v>
      </c>
      <c r="U260" s="56"/>
      <c r="V260" s="34">
        <v>45943.0</v>
      </c>
      <c r="W260" s="58">
        <f t="shared" si="5"/>
        <v>46308</v>
      </c>
      <c r="X260" s="56" t="s">
        <v>76</v>
      </c>
      <c r="Y260" s="60" t="str">
        <f t="shared" si="2"/>
        <v>Active</v>
      </c>
      <c r="Z260" s="59">
        <f t="shared" si="3"/>
        <v>193</v>
      </c>
      <c r="AA260" s="34">
        <v>46281.0</v>
      </c>
      <c r="AB260" s="56" t="s">
        <v>1588</v>
      </c>
    </row>
    <row r="261">
      <c r="B261" s="59" t="s">
        <v>1589</v>
      </c>
      <c r="C261" s="59" t="s">
        <v>850</v>
      </c>
      <c r="D261" s="64">
        <v>9.80607189E9</v>
      </c>
      <c r="E261" s="59" t="s">
        <v>1590</v>
      </c>
      <c r="F261" s="59" t="s">
        <v>1359</v>
      </c>
      <c r="G261" s="59" t="s">
        <v>144</v>
      </c>
      <c r="H261" s="59" t="s">
        <v>1591</v>
      </c>
      <c r="I261" s="64" t="s">
        <v>45</v>
      </c>
      <c r="J261" s="61"/>
      <c r="K261" s="57" t="s">
        <v>1592</v>
      </c>
      <c r="L261" s="57" t="s">
        <v>1593</v>
      </c>
      <c r="M261" s="56">
        <v>3251.0</v>
      </c>
      <c r="P261" s="56"/>
      <c r="Q261" s="56" t="s">
        <v>74</v>
      </c>
      <c r="R261" s="56" t="s">
        <v>1594</v>
      </c>
      <c r="S261" s="56">
        <v>9.760845117E9</v>
      </c>
      <c r="T261" s="56">
        <v>1.7626148E7</v>
      </c>
      <c r="U261" s="56">
        <v>1.0160888E7</v>
      </c>
      <c r="V261" s="34">
        <v>45944.0</v>
      </c>
      <c r="W261" s="58">
        <f t="shared" si="5"/>
        <v>46309</v>
      </c>
      <c r="X261" s="56" t="s">
        <v>76</v>
      </c>
      <c r="Y261" s="60" t="str">
        <f t="shared" si="2"/>
        <v>Active</v>
      </c>
      <c r="Z261" s="59">
        <f t="shared" si="3"/>
        <v>194</v>
      </c>
      <c r="AA261" s="34">
        <v>46145.0</v>
      </c>
      <c r="AB261" s="56" t="s">
        <v>1595</v>
      </c>
    </row>
    <row r="262">
      <c r="B262" s="59" t="s">
        <v>1589</v>
      </c>
      <c r="C262" s="59" t="s">
        <v>850</v>
      </c>
      <c r="D262" s="64">
        <v>9.80607189E9</v>
      </c>
      <c r="E262" s="59" t="s">
        <v>1590</v>
      </c>
      <c r="F262" s="59" t="s">
        <v>1359</v>
      </c>
      <c r="G262" s="59" t="s">
        <v>144</v>
      </c>
      <c r="H262" s="59" t="s">
        <v>1591</v>
      </c>
      <c r="I262" s="64" t="s">
        <v>45</v>
      </c>
      <c r="J262" s="61"/>
      <c r="K262" s="57" t="s">
        <v>1592</v>
      </c>
      <c r="L262" s="57" t="s">
        <v>1593</v>
      </c>
      <c r="M262" s="56">
        <v>3243.0</v>
      </c>
      <c r="P262" s="56"/>
      <c r="Q262" s="56" t="s">
        <v>74</v>
      </c>
      <c r="R262" s="56" t="s">
        <v>1596</v>
      </c>
      <c r="S262" s="72">
        <v>9.760843248E9</v>
      </c>
      <c r="T262" s="59">
        <v>1.2454385E7</v>
      </c>
      <c r="U262" s="59">
        <v>4.1732429E7</v>
      </c>
      <c r="V262" s="34">
        <v>45944.0</v>
      </c>
      <c r="W262" s="58">
        <f t="shared" si="5"/>
        <v>46309</v>
      </c>
      <c r="X262" s="56" t="s">
        <v>76</v>
      </c>
      <c r="Y262" s="60" t="str">
        <f t="shared" si="2"/>
        <v>Active</v>
      </c>
      <c r="Z262" s="59">
        <f t="shared" si="3"/>
        <v>194</v>
      </c>
      <c r="AA262" s="34">
        <v>46185.0</v>
      </c>
      <c r="AB262" s="56" t="s">
        <v>1597</v>
      </c>
    </row>
    <row r="263">
      <c r="B263" s="59" t="s">
        <v>1598</v>
      </c>
      <c r="C263" s="59" t="s">
        <v>40</v>
      </c>
      <c r="D263" s="64">
        <v>9.823301852E9</v>
      </c>
      <c r="E263" s="59" t="s">
        <v>1599</v>
      </c>
      <c r="F263" s="59" t="s">
        <v>1445</v>
      </c>
      <c r="G263" s="59" t="s">
        <v>1012</v>
      </c>
      <c r="H263" s="59" t="s">
        <v>44</v>
      </c>
      <c r="I263" s="64" t="s">
        <v>1600</v>
      </c>
      <c r="J263" s="61"/>
      <c r="K263" s="57" t="s">
        <v>1601</v>
      </c>
      <c r="L263" s="57" t="s">
        <v>1602</v>
      </c>
      <c r="M263" s="56">
        <v>408.0</v>
      </c>
      <c r="N263" s="56" t="s">
        <v>1603</v>
      </c>
      <c r="O263" s="56" t="s">
        <v>1604</v>
      </c>
      <c r="P263" s="56"/>
      <c r="Q263" s="56" t="s">
        <v>48</v>
      </c>
      <c r="R263" s="56" t="s">
        <v>1605</v>
      </c>
      <c r="S263" s="56">
        <v>9.760837757E9</v>
      </c>
      <c r="T263" s="56">
        <v>6.4582654E7</v>
      </c>
      <c r="U263" s="56">
        <v>2.3214237E7</v>
      </c>
      <c r="V263" s="34">
        <v>45945.0</v>
      </c>
      <c r="W263" s="58">
        <f t="shared" si="5"/>
        <v>46125</v>
      </c>
      <c r="X263" s="56" t="s">
        <v>63</v>
      </c>
      <c r="Y263" s="60" t="str">
        <f t="shared" si="2"/>
        <v>Active</v>
      </c>
      <c r="Z263" s="59">
        <f t="shared" si="3"/>
        <v>10</v>
      </c>
      <c r="AA263" s="34">
        <v>46050.0</v>
      </c>
      <c r="AB263" s="56" t="s">
        <v>1606</v>
      </c>
      <c r="AC263" s="56">
        <v>4080408.0</v>
      </c>
    </row>
    <row r="264">
      <c r="B264" s="59" t="s">
        <v>1607</v>
      </c>
      <c r="C264" s="59" t="s">
        <v>40</v>
      </c>
      <c r="D264" s="64">
        <v>9.851053082E9</v>
      </c>
      <c r="E264" s="59" t="s">
        <v>1608</v>
      </c>
      <c r="F264" s="59" t="s">
        <v>1445</v>
      </c>
      <c r="G264" s="59" t="s">
        <v>103</v>
      </c>
      <c r="H264" s="59" t="s">
        <v>715</v>
      </c>
      <c r="I264" s="64" t="s">
        <v>1609</v>
      </c>
      <c r="J264" s="61"/>
      <c r="K264" s="61"/>
      <c r="L264" s="61"/>
      <c r="M264" s="56">
        <v>9855.0</v>
      </c>
      <c r="P264" s="56"/>
      <c r="Q264" s="56" t="s">
        <v>48</v>
      </c>
      <c r="S264" s="56">
        <v>9.7608258E9</v>
      </c>
      <c r="V264" s="34">
        <v>45940.0</v>
      </c>
      <c r="W264" s="58">
        <f t="shared" si="5"/>
        <v>46305</v>
      </c>
      <c r="X264" s="56" t="s">
        <v>76</v>
      </c>
      <c r="Y264" s="60" t="str">
        <f t="shared" si="2"/>
        <v>Active</v>
      </c>
      <c r="Z264" s="59">
        <f t="shared" si="3"/>
        <v>190</v>
      </c>
      <c r="AB264" s="56" t="s">
        <v>1610</v>
      </c>
      <c r="AC264" s="56">
        <v>9.851053082E9</v>
      </c>
    </row>
    <row r="265">
      <c r="B265" s="59" t="s">
        <v>1607</v>
      </c>
      <c r="C265" s="59" t="s">
        <v>40</v>
      </c>
      <c r="D265" s="64">
        <v>9.851053082E9</v>
      </c>
      <c r="E265" s="59" t="s">
        <v>1608</v>
      </c>
      <c r="F265" s="59" t="s">
        <v>1445</v>
      </c>
      <c r="G265" s="59" t="s">
        <v>103</v>
      </c>
      <c r="H265" s="59" t="s">
        <v>715</v>
      </c>
      <c r="I265" s="64" t="s">
        <v>1609</v>
      </c>
      <c r="J265" s="61"/>
      <c r="K265" s="61"/>
      <c r="L265" s="61"/>
      <c r="M265" s="56">
        <v>9856.0</v>
      </c>
      <c r="P265" s="56"/>
      <c r="Q265" s="56" t="s">
        <v>48</v>
      </c>
      <c r="R265" s="56" t="s">
        <v>1611</v>
      </c>
      <c r="S265" s="56">
        <v>9.760825781E9</v>
      </c>
      <c r="V265" s="34">
        <v>45940.0</v>
      </c>
      <c r="W265" s="58">
        <f t="shared" si="5"/>
        <v>46305</v>
      </c>
      <c r="X265" s="56" t="s">
        <v>76</v>
      </c>
      <c r="Y265" s="60" t="str">
        <f t="shared" si="2"/>
        <v>Active</v>
      </c>
      <c r="Z265" s="59">
        <f t="shared" si="3"/>
        <v>190</v>
      </c>
      <c r="AB265" s="56" t="s">
        <v>1612</v>
      </c>
      <c r="AC265" s="56">
        <v>9.851053082E9</v>
      </c>
      <c r="AH265" s="56">
        <v>9.841941749E9</v>
      </c>
    </row>
    <row r="266">
      <c r="B266" s="56" t="s">
        <v>396</v>
      </c>
      <c r="C266" s="56" t="s">
        <v>230</v>
      </c>
      <c r="D266" s="57">
        <v>9.85402305E9</v>
      </c>
      <c r="E266" s="56" t="s">
        <v>1613</v>
      </c>
      <c r="F266" s="56" t="s">
        <v>42</v>
      </c>
      <c r="G266" s="56" t="s">
        <v>103</v>
      </c>
      <c r="H266" s="56" t="s">
        <v>232</v>
      </c>
      <c r="I266" s="57" t="s">
        <v>1614</v>
      </c>
      <c r="J266" s="61"/>
      <c r="K266" s="57">
        <v>9.85402305E9</v>
      </c>
      <c r="L266" s="57" t="s">
        <v>398</v>
      </c>
      <c r="M266" s="56">
        <v>9907.0</v>
      </c>
      <c r="N266" s="56" t="s">
        <v>1615</v>
      </c>
      <c r="O266" s="56" t="s">
        <v>1616</v>
      </c>
      <c r="P266" s="56" t="s">
        <v>1617</v>
      </c>
      <c r="Q266" s="56" t="s">
        <v>48</v>
      </c>
      <c r="R266" s="56" t="s">
        <v>1618</v>
      </c>
      <c r="S266" s="70">
        <v>9.760843009E9</v>
      </c>
      <c r="T266" s="56">
        <v>2.7441269E7</v>
      </c>
      <c r="U266" s="56">
        <v>3.2061227E7</v>
      </c>
      <c r="V266" s="60">
        <v>45968.0</v>
      </c>
      <c r="W266" s="58">
        <f t="shared" si="5"/>
        <v>46148</v>
      </c>
      <c r="X266" s="59" t="s">
        <v>50</v>
      </c>
      <c r="Y266" s="60" t="str">
        <f t="shared" si="2"/>
        <v>Active</v>
      </c>
      <c r="Z266" s="59">
        <f t="shared" si="3"/>
        <v>33</v>
      </c>
      <c r="AA266" s="60">
        <v>46148.0</v>
      </c>
      <c r="AB266" s="59" t="s">
        <v>1619</v>
      </c>
      <c r="AC266" s="59" t="s">
        <v>1620</v>
      </c>
    </row>
    <row r="267">
      <c r="B267" s="56" t="s">
        <v>396</v>
      </c>
      <c r="C267" s="56" t="s">
        <v>230</v>
      </c>
      <c r="D267" s="57">
        <v>9.85402305E9</v>
      </c>
      <c r="E267" s="56" t="s">
        <v>1613</v>
      </c>
      <c r="F267" s="56" t="s">
        <v>42</v>
      </c>
      <c r="G267" s="56" t="s">
        <v>103</v>
      </c>
      <c r="H267" s="56" t="s">
        <v>232</v>
      </c>
      <c r="I267" s="57" t="s">
        <v>1614</v>
      </c>
      <c r="J267" s="61"/>
      <c r="K267" s="57">
        <v>9.85402305E9</v>
      </c>
      <c r="L267" s="57" t="s">
        <v>398</v>
      </c>
      <c r="M267" s="56">
        <v>9908.0</v>
      </c>
      <c r="Q267" s="56" t="s">
        <v>48</v>
      </c>
      <c r="R267" s="59" t="s">
        <v>1621</v>
      </c>
      <c r="S267" s="73">
        <v>9.760844711E9</v>
      </c>
      <c r="T267" s="59">
        <v>4.9532616E7</v>
      </c>
      <c r="U267" s="59">
        <v>1.6306221E7</v>
      </c>
      <c r="V267" s="60">
        <v>45969.0</v>
      </c>
      <c r="W267" s="58">
        <f t="shared" si="5"/>
        <v>46149</v>
      </c>
      <c r="X267" s="59" t="s">
        <v>50</v>
      </c>
      <c r="Y267" s="60" t="str">
        <f t="shared" si="2"/>
        <v>Active</v>
      </c>
      <c r="Z267" s="59">
        <f t="shared" si="3"/>
        <v>34</v>
      </c>
      <c r="AA267" s="60">
        <v>46239.0</v>
      </c>
      <c r="AB267" s="59" t="s">
        <v>1622</v>
      </c>
      <c r="AC267" s="59" t="s">
        <v>1623</v>
      </c>
    </row>
    <row r="268">
      <c r="B268" s="56" t="s">
        <v>1459</v>
      </c>
      <c r="C268" s="56" t="s">
        <v>68</v>
      </c>
      <c r="D268" s="69"/>
      <c r="E268" s="56" t="s">
        <v>1459</v>
      </c>
      <c r="F268" s="56" t="s">
        <v>1445</v>
      </c>
      <c r="G268" s="56" t="s">
        <v>103</v>
      </c>
      <c r="H268" s="56" t="s">
        <v>70</v>
      </c>
      <c r="I268" s="61"/>
      <c r="J268" s="61"/>
      <c r="K268" s="61"/>
      <c r="L268" s="61"/>
      <c r="M268" s="56">
        <v>881.0</v>
      </c>
      <c r="Q268" s="56" t="s">
        <v>48</v>
      </c>
      <c r="R268" s="56" t="s">
        <v>1624</v>
      </c>
      <c r="S268" s="56">
        <v>9.760843583E9</v>
      </c>
      <c r="T268" s="59">
        <v>8.9304681E7</v>
      </c>
      <c r="U268" s="67"/>
      <c r="V268" s="60">
        <v>46082.0</v>
      </c>
      <c r="W268" s="58">
        <f t="shared" si="5"/>
        <v>46112</v>
      </c>
      <c r="X268" s="59" t="s">
        <v>215</v>
      </c>
      <c r="Y268" s="60" t="str">
        <f t="shared" si="2"/>
        <v>Expired</v>
      </c>
      <c r="Z268" s="59">
        <f t="shared" si="3"/>
        <v>0</v>
      </c>
      <c r="AA268" s="60">
        <v>46108.0</v>
      </c>
      <c r="AB268" s="59" t="s">
        <v>1625</v>
      </c>
      <c r="AC268" s="59" t="s">
        <v>1626</v>
      </c>
    </row>
    <row r="269">
      <c r="B269" s="56" t="s">
        <v>575</v>
      </c>
      <c r="C269" s="56" t="s">
        <v>40</v>
      </c>
      <c r="D269" s="57">
        <v>9.851097412E9</v>
      </c>
      <c r="E269" s="56" t="s">
        <v>589</v>
      </c>
      <c r="F269" s="56" t="s">
        <v>42</v>
      </c>
      <c r="G269" s="56" t="s">
        <v>103</v>
      </c>
      <c r="H269" s="56" t="s">
        <v>931</v>
      </c>
      <c r="I269" s="61"/>
      <c r="J269" s="61"/>
      <c r="K269" s="57">
        <v>9.851097412E9</v>
      </c>
      <c r="L269" s="57" t="s">
        <v>577</v>
      </c>
      <c r="M269" s="56">
        <v>2515.0</v>
      </c>
      <c r="Q269" s="56" t="s">
        <v>48</v>
      </c>
      <c r="R269" s="56" t="s">
        <v>1627</v>
      </c>
      <c r="T269" s="67"/>
      <c r="U269" s="67"/>
      <c r="V269" s="60">
        <v>45962.0</v>
      </c>
      <c r="W269" s="58">
        <f t="shared" si="5"/>
        <v>45992</v>
      </c>
      <c r="X269" s="59" t="s">
        <v>215</v>
      </c>
      <c r="Y269" s="60" t="str">
        <f t="shared" si="2"/>
        <v>Expired</v>
      </c>
      <c r="Z269" s="59">
        <f t="shared" si="3"/>
        <v>0</v>
      </c>
      <c r="AA269" s="67"/>
      <c r="AB269" s="59" t="s">
        <v>1628</v>
      </c>
      <c r="AC269" s="67"/>
    </row>
    <row r="270">
      <c r="B270" s="56" t="s">
        <v>647</v>
      </c>
      <c r="C270" s="56" t="s">
        <v>40</v>
      </c>
      <c r="D270" s="57">
        <v>9.85119045E9</v>
      </c>
      <c r="E270" s="56" t="s">
        <v>1629</v>
      </c>
      <c r="F270" s="56" t="s">
        <v>1445</v>
      </c>
      <c r="G270" s="56" t="s">
        <v>103</v>
      </c>
      <c r="H270" s="56" t="s">
        <v>504</v>
      </c>
      <c r="I270" s="61"/>
      <c r="J270" s="61"/>
      <c r="K270" s="57">
        <v>9.85118945E9</v>
      </c>
      <c r="L270" s="57" t="s">
        <v>1630</v>
      </c>
      <c r="M270" s="56">
        <v>9865.0</v>
      </c>
      <c r="Q270" s="56" t="s">
        <v>48</v>
      </c>
      <c r="R270" s="66" t="s">
        <v>1631</v>
      </c>
      <c r="S270" s="56">
        <v>9.76084522E9</v>
      </c>
      <c r="T270" s="56">
        <v>3.3934437E7</v>
      </c>
      <c r="V270" s="34">
        <v>45964.0</v>
      </c>
      <c r="W270" s="58">
        <f t="shared" si="5"/>
        <v>46144</v>
      </c>
      <c r="X270" s="56" t="s">
        <v>50</v>
      </c>
      <c r="Y270" s="60" t="str">
        <f t="shared" si="2"/>
        <v>Active</v>
      </c>
      <c r="Z270" s="59">
        <f t="shared" si="3"/>
        <v>29</v>
      </c>
      <c r="AA270" s="68">
        <f>W270</f>
        <v>46144</v>
      </c>
      <c r="AB270" s="56" t="s">
        <v>1632</v>
      </c>
      <c r="AC270" s="56" t="s">
        <v>1633</v>
      </c>
    </row>
    <row r="271">
      <c r="B271" s="56" t="s">
        <v>647</v>
      </c>
      <c r="C271" s="56" t="s">
        <v>40</v>
      </c>
      <c r="D271" s="57">
        <v>9.85119045E9</v>
      </c>
      <c r="E271" s="56" t="s">
        <v>1629</v>
      </c>
      <c r="F271" s="56" t="s">
        <v>1445</v>
      </c>
      <c r="G271" s="56" t="s">
        <v>103</v>
      </c>
      <c r="H271" s="56" t="s">
        <v>504</v>
      </c>
      <c r="I271" s="61"/>
      <c r="J271" s="61"/>
      <c r="K271" s="57">
        <v>9.85118945E9</v>
      </c>
      <c r="L271" s="57" t="s">
        <v>1630</v>
      </c>
      <c r="M271" s="56">
        <v>9864.0</v>
      </c>
      <c r="Q271" s="56" t="s">
        <v>48</v>
      </c>
      <c r="R271" s="62" t="s">
        <v>1634</v>
      </c>
      <c r="S271" s="63">
        <v>9.760843143E9</v>
      </c>
      <c r="T271" s="62">
        <v>2.2263201E7</v>
      </c>
      <c r="U271" s="62">
        <v>7.9372236E7</v>
      </c>
      <c r="V271" s="34">
        <v>45972.0</v>
      </c>
      <c r="W271" s="58">
        <f t="shared" si="5"/>
        <v>46152</v>
      </c>
      <c r="X271" s="56" t="s">
        <v>50</v>
      </c>
      <c r="Y271" s="60" t="str">
        <f t="shared" si="2"/>
        <v>Active</v>
      </c>
      <c r="Z271" s="59">
        <f t="shared" si="3"/>
        <v>37</v>
      </c>
      <c r="AA271" s="74">
        <v>46152.0</v>
      </c>
      <c r="AB271" s="56" t="s">
        <v>1635</v>
      </c>
      <c r="AC271" s="56" t="s">
        <v>1636</v>
      </c>
    </row>
    <row r="272">
      <c r="B272" s="56" t="s">
        <v>647</v>
      </c>
      <c r="C272" s="56" t="s">
        <v>40</v>
      </c>
      <c r="D272" s="57">
        <v>9.85119045E9</v>
      </c>
      <c r="E272" s="56" t="s">
        <v>1629</v>
      </c>
      <c r="F272" s="56" t="s">
        <v>42</v>
      </c>
      <c r="G272" s="56" t="s">
        <v>103</v>
      </c>
      <c r="H272" s="56" t="s">
        <v>504</v>
      </c>
      <c r="I272" s="61"/>
      <c r="J272" s="61"/>
      <c r="K272" s="57">
        <v>9.85118945E9</v>
      </c>
      <c r="L272" s="57" t="s">
        <v>1630</v>
      </c>
      <c r="M272" s="56">
        <v>4025.0</v>
      </c>
      <c r="N272" s="56"/>
      <c r="Q272" s="56" t="s">
        <v>48</v>
      </c>
      <c r="R272" s="62"/>
      <c r="S272" s="62">
        <v>9.760825994E9</v>
      </c>
      <c r="T272" s="62">
        <v>2.6550105E7</v>
      </c>
      <c r="U272" s="62"/>
      <c r="V272" s="60">
        <v>46096.0</v>
      </c>
      <c r="W272" s="58">
        <f t="shared" si="5"/>
        <v>46276</v>
      </c>
      <c r="X272" s="56" t="s">
        <v>50</v>
      </c>
      <c r="Y272" s="60" t="str">
        <f t="shared" si="2"/>
        <v>Active</v>
      </c>
      <c r="Z272" s="59">
        <f t="shared" si="3"/>
        <v>161</v>
      </c>
      <c r="AA272" s="60"/>
      <c r="AB272" s="56" t="s">
        <v>1637</v>
      </c>
      <c r="AC272" s="56" t="s">
        <v>1638</v>
      </c>
    </row>
    <row r="273">
      <c r="B273" s="56" t="s">
        <v>1639</v>
      </c>
      <c r="C273" s="56" t="s">
        <v>68</v>
      </c>
      <c r="D273" s="57">
        <v>9.858029353E9</v>
      </c>
      <c r="E273" s="56" t="s">
        <v>1640</v>
      </c>
      <c r="F273" s="56" t="s">
        <v>42</v>
      </c>
      <c r="G273" s="56" t="s">
        <v>103</v>
      </c>
      <c r="H273" s="56" t="s">
        <v>70</v>
      </c>
      <c r="I273" s="61"/>
      <c r="J273" s="61"/>
      <c r="K273" s="57" t="s">
        <v>1641</v>
      </c>
      <c r="L273" s="57" t="s">
        <v>1642</v>
      </c>
      <c r="M273" s="56">
        <v>4403.0</v>
      </c>
      <c r="N273" s="56" t="s">
        <v>1643</v>
      </c>
      <c r="Q273" s="56" t="s">
        <v>48</v>
      </c>
      <c r="R273" s="62" t="s">
        <v>1644</v>
      </c>
      <c r="S273" s="63">
        <v>9.760843169E9</v>
      </c>
      <c r="T273" s="62">
        <v>4.5041521E7</v>
      </c>
      <c r="U273" s="62">
        <v>3.0931182E7</v>
      </c>
      <c r="V273" s="60">
        <v>45973.0</v>
      </c>
      <c r="W273" s="58">
        <f t="shared" si="5"/>
        <v>46153</v>
      </c>
      <c r="X273" s="59" t="s">
        <v>50</v>
      </c>
      <c r="Y273" s="60" t="str">
        <f t="shared" si="2"/>
        <v>Active</v>
      </c>
      <c r="Z273" s="59">
        <f t="shared" si="3"/>
        <v>38</v>
      </c>
      <c r="AA273" s="60">
        <v>46153.0</v>
      </c>
      <c r="AB273" s="56" t="s">
        <v>1645</v>
      </c>
      <c r="AC273" s="56">
        <v>9.858033073E9</v>
      </c>
    </row>
    <row r="274">
      <c r="B274" s="56" t="s">
        <v>1646</v>
      </c>
      <c r="C274" s="56" t="s">
        <v>68</v>
      </c>
      <c r="D274" s="57"/>
      <c r="E274" s="56" t="s">
        <v>1640</v>
      </c>
      <c r="F274" s="56" t="s">
        <v>42</v>
      </c>
      <c r="G274" s="56" t="s">
        <v>103</v>
      </c>
      <c r="H274" s="56" t="s">
        <v>70</v>
      </c>
      <c r="I274" s="61"/>
      <c r="J274" s="61"/>
      <c r="K274" s="57"/>
      <c r="L274" s="57"/>
      <c r="M274" s="56">
        <v>4404.0</v>
      </c>
      <c r="N274" s="56" t="s">
        <v>1647</v>
      </c>
      <c r="O274" s="56" t="s">
        <v>1648</v>
      </c>
      <c r="Q274" s="56"/>
      <c r="R274" s="62"/>
      <c r="S274" s="62">
        <v>9.703835894E9</v>
      </c>
      <c r="T274" s="62"/>
      <c r="U274" s="62"/>
      <c r="V274" s="60">
        <v>45966.0</v>
      </c>
      <c r="W274" s="58">
        <f t="shared" si="5"/>
        <v>45994</v>
      </c>
      <c r="X274" s="59" t="s">
        <v>98</v>
      </c>
      <c r="Y274" s="60" t="str">
        <f t="shared" si="2"/>
        <v>Expired</v>
      </c>
      <c r="Z274" s="59">
        <f t="shared" si="3"/>
        <v>0</v>
      </c>
      <c r="AA274" s="60">
        <v>45994.0</v>
      </c>
      <c r="AB274" s="56" t="s">
        <v>1649</v>
      </c>
      <c r="AC274" s="56"/>
    </row>
    <row r="275">
      <c r="B275" s="56" t="s">
        <v>1650</v>
      </c>
      <c r="C275" s="56" t="s">
        <v>905</v>
      </c>
      <c r="D275" s="57">
        <v>9.801096334E9</v>
      </c>
      <c r="E275" s="56" t="s">
        <v>1651</v>
      </c>
      <c r="F275" s="56" t="s">
        <v>42</v>
      </c>
      <c r="G275" s="56" t="s">
        <v>103</v>
      </c>
      <c r="H275" s="56" t="s">
        <v>907</v>
      </c>
      <c r="I275" s="61"/>
      <c r="J275" s="61"/>
      <c r="K275" s="57">
        <v>9.801096334E9</v>
      </c>
      <c r="L275" s="57" t="s">
        <v>702</v>
      </c>
      <c r="M275" s="56">
        <v>2885.0</v>
      </c>
      <c r="Q275" s="56" t="s">
        <v>48</v>
      </c>
      <c r="R275" s="62" t="s">
        <v>1652</v>
      </c>
      <c r="S275" s="63">
        <v>9.760843204E9</v>
      </c>
      <c r="T275" s="62">
        <v>2.969412E7</v>
      </c>
      <c r="U275" s="62">
        <v>2.6296597E7</v>
      </c>
      <c r="V275" s="60">
        <v>45973.0</v>
      </c>
      <c r="W275" s="58">
        <f t="shared" si="5"/>
        <v>46153</v>
      </c>
      <c r="X275" s="59" t="s">
        <v>50</v>
      </c>
      <c r="Y275" s="60" t="str">
        <f t="shared" si="2"/>
        <v>Active</v>
      </c>
      <c r="Z275" s="59">
        <f t="shared" si="3"/>
        <v>38</v>
      </c>
      <c r="AA275" s="60">
        <v>46153.0</v>
      </c>
      <c r="AB275" s="56" t="s">
        <v>1653</v>
      </c>
      <c r="AC275" s="56" t="s">
        <v>1654</v>
      </c>
    </row>
    <row r="276">
      <c r="B276" s="56" t="s">
        <v>1650</v>
      </c>
      <c r="C276" s="56" t="s">
        <v>905</v>
      </c>
      <c r="D276" s="57">
        <v>9.801096334E9</v>
      </c>
      <c r="E276" s="56" t="s">
        <v>1651</v>
      </c>
      <c r="F276" s="56" t="s">
        <v>42</v>
      </c>
      <c r="G276" s="56" t="s">
        <v>103</v>
      </c>
      <c r="H276" s="56" t="s">
        <v>907</v>
      </c>
      <c r="I276" s="61"/>
      <c r="J276" s="61"/>
      <c r="K276" s="57">
        <v>9.801096334E9</v>
      </c>
      <c r="L276" s="57" t="s">
        <v>702</v>
      </c>
      <c r="M276" s="56">
        <v>2686.0</v>
      </c>
      <c r="Q276" s="56" t="s">
        <v>48</v>
      </c>
      <c r="R276" s="62" t="s">
        <v>1655</v>
      </c>
      <c r="S276" s="59">
        <v>9.760843898E9</v>
      </c>
      <c r="T276" s="59">
        <v>2.3874263E7</v>
      </c>
      <c r="U276" s="59">
        <v>1.1017129E7</v>
      </c>
      <c r="V276" s="60">
        <v>46088.0</v>
      </c>
      <c r="W276" s="58">
        <f t="shared" si="5"/>
        <v>46118</v>
      </c>
      <c r="X276" s="59" t="s">
        <v>215</v>
      </c>
      <c r="Y276" s="60" t="str">
        <f t="shared" si="2"/>
        <v>Active</v>
      </c>
      <c r="Z276" s="59">
        <f t="shared" si="3"/>
        <v>3</v>
      </c>
      <c r="AA276" s="60">
        <v>46157.0</v>
      </c>
      <c r="AB276" s="56" t="s">
        <v>1656</v>
      </c>
      <c r="AC276" s="56" t="s">
        <v>1657</v>
      </c>
    </row>
    <row r="277">
      <c r="B277" s="56" t="s">
        <v>1658</v>
      </c>
      <c r="C277" s="56" t="s">
        <v>850</v>
      </c>
      <c r="D277" s="57">
        <v>9.851148567E9</v>
      </c>
      <c r="E277" s="56" t="s">
        <v>1659</v>
      </c>
      <c r="F277" s="56" t="s">
        <v>42</v>
      </c>
      <c r="G277" s="56" t="s">
        <v>103</v>
      </c>
      <c r="H277" s="56" t="s">
        <v>715</v>
      </c>
      <c r="I277" s="61"/>
      <c r="J277" s="61"/>
      <c r="K277" s="61"/>
      <c r="L277" s="61"/>
      <c r="M277" s="56">
        <v>1098.0</v>
      </c>
      <c r="Q277" s="56" t="s">
        <v>48</v>
      </c>
      <c r="R277" s="59" t="s">
        <v>980</v>
      </c>
      <c r="S277" s="67"/>
      <c r="T277" s="67"/>
      <c r="U277" s="67"/>
      <c r="V277" s="60">
        <v>45884.0</v>
      </c>
      <c r="W277" s="58">
        <f t="shared" si="5"/>
        <v>46249</v>
      </c>
      <c r="X277" s="59" t="s">
        <v>1338</v>
      </c>
      <c r="Y277" s="60" t="str">
        <f t="shared" si="2"/>
        <v>Active</v>
      </c>
      <c r="Z277" s="59">
        <f t="shared" si="3"/>
        <v>134</v>
      </c>
      <c r="AA277" s="60">
        <v>46064.0</v>
      </c>
      <c r="AB277" s="56" t="s">
        <v>1660</v>
      </c>
      <c r="AC277" s="56" t="s">
        <v>1661</v>
      </c>
    </row>
    <row r="278">
      <c r="B278" s="56" t="s">
        <v>1662</v>
      </c>
      <c r="C278" s="56" t="s">
        <v>68</v>
      </c>
      <c r="D278" s="57">
        <v>9.849044988E9</v>
      </c>
      <c r="E278" s="56" t="s">
        <v>1640</v>
      </c>
      <c r="F278" s="56" t="s">
        <v>42</v>
      </c>
      <c r="G278" s="56" t="s">
        <v>103</v>
      </c>
      <c r="H278" s="56" t="s">
        <v>70</v>
      </c>
      <c r="I278" s="61"/>
      <c r="J278" s="61"/>
      <c r="K278" s="57" t="s">
        <v>1663</v>
      </c>
      <c r="L278" s="57" t="s">
        <v>758</v>
      </c>
      <c r="M278" s="56">
        <v>2427.0</v>
      </c>
      <c r="Q278" s="56" t="s">
        <v>48</v>
      </c>
      <c r="R278" s="59" t="s">
        <v>1664</v>
      </c>
      <c r="S278" s="73">
        <v>9.760843766E9</v>
      </c>
      <c r="T278" s="59">
        <v>2.4209109E7</v>
      </c>
      <c r="U278" s="59">
        <v>2.844449E7</v>
      </c>
      <c r="V278" s="60">
        <v>45977.0</v>
      </c>
      <c r="W278" s="58">
        <f t="shared" si="5"/>
        <v>46157</v>
      </c>
      <c r="X278" s="59" t="s">
        <v>50</v>
      </c>
      <c r="Y278" s="60" t="str">
        <f t="shared" si="2"/>
        <v>Active</v>
      </c>
      <c r="Z278" s="59">
        <f t="shared" si="3"/>
        <v>42</v>
      </c>
      <c r="AA278" s="60">
        <v>46157.0</v>
      </c>
      <c r="AB278" s="56" t="s">
        <v>1665</v>
      </c>
      <c r="AC278" s="56">
        <v>9.849044988E9</v>
      </c>
    </row>
    <row r="279">
      <c r="B279" s="56" t="s">
        <v>1666</v>
      </c>
      <c r="C279" s="56" t="s">
        <v>850</v>
      </c>
      <c r="D279" s="57">
        <v>9.807936683E9</v>
      </c>
      <c r="E279" s="56" t="s">
        <v>900</v>
      </c>
      <c r="F279" s="56" t="s">
        <v>42</v>
      </c>
      <c r="G279" s="56" t="s">
        <v>103</v>
      </c>
      <c r="H279" s="56" t="s">
        <v>836</v>
      </c>
      <c r="I279" s="61"/>
      <c r="J279" s="61"/>
      <c r="K279" s="61"/>
      <c r="L279" s="61"/>
      <c r="M279" s="56">
        <v>9924.0</v>
      </c>
      <c r="Q279" s="56" t="s">
        <v>48</v>
      </c>
      <c r="R279" s="56" t="s">
        <v>1667</v>
      </c>
      <c r="S279" s="73">
        <v>9.760843696E9</v>
      </c>
      <c r="T279" s="56">
        <v>1.4435249E7</v>
      </c>
      <c r="U279" s="56">
        <v>4.2606071E7</v>
      </c>
      <c r="V279" s="34">
        <v>45978.0</v>
      </c>
      <c r="W279" s="58">
        <f t="shared" si="5"/>
        <v>46158</v>
      </c>
      <c r="X279" s="56" t="s">
        <v>50</v>
      </c>
      <c r="Y279" s="60" t="str">
        <f t="shared" si="2"/>
        <v>Active</v>
      </c>
      <c r="Z279" s="59">
        <f t="shared" si="3"/>
        <v>43</v>
      </c>
      <c r="AA279" s="34">
        <v>46158.0</v>
      </c>
      <c r="AB279" s="56" t="s">
        <v>1668</v>
      </c>
      <c r="AC279" s="56" t="s">
        <v>1669</v>
      </c>
    </row>
    <row r="280">
      <c r="B280" s="59" t="s">
        <v>1317</v>
      </c>
      <c r="C280" s="59"/>
      <c r="D280" s="59" t="s">
        <v>1318</v>
      </c>
      <c r="E280" s="59" t="s">
        <v>1319</v>
      </c>
      <c r="F280" s="59" t="s">
        <v>1296</v>
      </c>
      <c r="G280" s="59" t="s">
        <v>103</v>
      </c>
      <c r="H280" s="59" t="s">
        <v>1044</v>
      </c>
      <c r="I280" s="59" t="s">
        <v>45</v>
      </c>
      <c r="J280" s="59"/>
      <c r="K280" s="59" t="s">
        <v>1321</v>
      </c>
      <c r="L280" s="64" t="s">
        <v>1322</v>
      </c>
      <c r="M280" s="56">
        <v>9989.0</v>
      </c>
      <c r="Q280" s="56" t="s">
        <v>48</v>
      </c>
      <c r="R280" s="56" t="s">
        <v>1670</v>
      </c>
      <c r="S280" s="73">
        <v>9.760843148E9</v>
      </c>
      <c r="T280" s="56">
        <v>2.0907545E7</v>
      </c>
      <c r="U280" s="56">
        <v>2.8076283E7</v>
      </c>
      <c r="V280" s="34">
        <v>45978.0</v>
      </c>
      <c r="W280" s="58">
        <f t="shared" si="5"/>
        <v>46158</v>
      </c>
      <c r="X280" s="56" t="s">
        <v>50</v>
      </c>
      <c r="Y280" s="60" t="str">
        <f t="shared" si="2"/>
        <v>Active</v>
      </c>
      <c r="Z280" s="59">
        <f t="shared" si="3"/>
        <v>43</v>
      </c>
      <c r="AA280" s="34">
        <v>46158.0</v>
      </c>
      <c r="AB280" s="56" t="s">
        <v>1671</v>
      </c>
      <c r="AC280" s="56" t="s">
        <v>1672</v>
      </c>
    </row>
    <row r="281">
      <c r="B281" s="59" t="s">
        <v>1317</v>
      </c>
      <c r="C281" s="59"/>
      <c r="D281" s="59" t="s">
        <v>1318</v>
      </c>
      <c r="E281" s="59" t="s">
        <v>1319</v>
      </c>
      <c r="F281" s="59" t="s">
        <v>1296</v>
      </c>
      <c r="G281" s="59" t="s">
        <v>103</v>
      </c>
      <c r="H281" s="59" t="s">
        <v>1044</v>
      </c>
      <c r="I281" s="59" t="s">
        <v>45</v>
      </c>
      <c r="J281" s="59"/>
      <c r="K281" s="59" t="s">
        <v>1321</v>
      </c>
      <c r="L281" s="64" t="s">
        <v>1322</v>
      </c>
      <c r="M281" s="56">
        <v>9988.0</v>
      </c>
      <c r="Q281" s="56" t="s">
        <v>48</v>
      </c>
      <c r="R281" s="56" t="s">
        <v>1673</v>
      </c>
      <c r="S281" s="73">
        <v>9.760843729E9</v>
      </c>
      <c r="T281" s="56">
        <v>1.076016E7</v>
      </c>
      <c r="V281" s="34">
        <v>45978.0</v>
      </c>
      <c r="W281" s="58">
        <f t="shared" si="5"/>
        <v>46158</v>
      </c>
      <c r="X281" s="56" t="s">
        <v>50</v>
      </c>
      <c r="Y281" s="60" t="str">
        <f t="shared" si="2"/>
        <v>Active</v>
      </c>
      <c r="Z281" s="59">
        <f t="shared" si="3"/>
        <v>43</v>
      </c>
      <c r="AA281" s="34">
        <v>46158.0</v>
      </c>
      <c r="AB281" s="56" t="s">
        <v>1674</v>
      </c>
      <c r="AC281" s="56" t="s">
        <v>1675</v>
      </c>
    </row>
    <row r="282">
      <c r="B282" s="56" t="s">
        <v>1676</v>
      </c>
      <c r="C282" s="56" t="s">
        <v>1443</v>
      </c>
      <c r="D282" s="57">
        <v>9.851053844E9</v>
      </c>
      <c r="E282" s="56" t="s">
        <v>1677</v>
      </c>
      <c r="F282" s="56" t="s">
        <v>1359</v>
      </c>
      <c r="G282" s="56" t="s">
        <v>103</v>
      </c>
      <c r="H282" s="56" t="s">
        <v>1290</v>
      </c>
      <c r="I282" s="61"/>
      <c r="J282" s="61"/>
      <c r="K282" s="57" t="s">
        <v>1678</v>
      </c>
      <c r="L282" s="57" t="s">
        <v>1679</v>
      </c>
      <c r="M282" s="56">
        <v>8696.0</v>
      </c>
      <c r="Q282" s="56" t="s">
        <v>48</v>
      </c>
      <c r="R282" s="56" t="s">
        <v>1680</v>
      </c>
      <c r="T282" s="56">
        <v>3.0643849E7</v>
      </c>
      <c r="U282" s="56">
        <v>1.1020188E7</v>
      </c>
      <c r="V282" s="34">
        <v>45947.0</v>
      </c>
      <c r="W282" s="58">
        <f t="shared" si="5"/>
        <v>46312</v>
      </c>
      <c r="X282" s="56" t="s">
        <v>1338</v>
      </c>
      <c r="Y282" s="60" t="str">
        <f t="shared" si="2"/>
        <v>Active</v>
      </c>
      <c r="Z282" s="59">
        <f t="shared" si="3"/>
        <v>197</v>
      </c>
      <c r="AA282" s="34">
        <v>46127.0</v>
      </c>
      <c r="AB282" s="56" t="s">
        <v>1681</v>
      </c>
    </row>
    <row r="283">
      <c r="B283" s="56" t="s">
        <v>1676</v>
      </c>
      <c r="C283" s="56" t="s">
        <v>1443</v>
      </c>
      <c r="D283" s="57">
        <v>9.851053844E9</v>
      </c>
      <c r="E283" s="56" t="s">
        <v>1677</v>
      </c>
      <c r="F283" s="56" t="s">
        <v>1359</v>
      </c>
      <c r="G283" s="56" t="s">
        <v>103</v>
      </c>
      <c r="H283" s="56" t="s">
        <v>1290</v>
      </c>
      <c r="I283" s="61"/>
      <c r="J283" s="61"/>
      <c r="K283" s="57" t="s">
        <v>1678</v>
      </c>
      <c r="L283" s="57" t="s">
        <v>1679</v>
      </c>
      <c r="Q283" s="56" t="s">
        <v>48</v>
      </c>
      <c r="R283" s="56" t="s">
        <v>1682</v>
      </c>
      <c r="V283" s="34">
        <v>45947.0</v>
      </c>
      <c r="W283" s="58">
        <f t="shared" si="5"/>
        <v>46312</v>
      </c>
      <c r="X283" s="56" t="s">
        <v>1338</v>
      </c>
      <c r="Y283" s="60" t="str">
        <f t="shared" si="2"/>
        <v>Active</v>
      </c>
      <c r="Z283" s="59">
        <f t="shared" si="3"/>
        <v>197</v>
      </c>
      <c r="AA283" s="34">
        <v>46127.0</v>
      </c>
      <c r="AB283" s="56" t="s">
        <v>1681</v>
      </c>
    </row>
    <row r="284">
      <c r="B284" s="56" t="s">
        <v>575</v>
      </c>
      <c r="C284" s="56" t="s">
        <v>40</v>
      </c>
      <c r="D284" s="57">
        <v>9.851097412E9</v>
      </c>
      <c r="E284" s="56" t="s">
        <v>589</v>
      </c>
      <c r="F284" s="56" t="s">
        <v>42</v>
      </c>
      <c r="G284" s="56" t="s">
        <v>103</v>
      </c>
      <c r="H284" s="56" t="s">
        <v>232</v>
      </c>
      <c r="I284" s="61"/>
      <c r="J284" s="61"/>
      <c r="K284" s="61"/>
      <c r="L284" s="57" t="s">
        <v>577</v>
      </c>
      <c r="M284" s="56">
        <v>3364.0</v>
      </c>
      <c r="Q284" s="56" t="s">
        <v>48</v>
      </c>
      <c r="R284" s="59"/>
      <c r="S284" s="73">
        <v>9.808665305E9</v>
      </c>
      <c r="T284" s="59"/>
      <c r="U284" s="59"/>
      <c r="V284" s="60">
        <v>46077.0</v>
      </c>
      <c r="W284" s="58">
        <f t="shared" si="5"/>
        <v>46105</v>
      </c>
      <c r="X284" s="56" t="s">
        <v>98</v>
      </c>
      <c r="Y284" s="60" t="str">
        <f t="shared" si="2"/>
        <v>Expired</v>
      </c>
      <c r="Z284" s="59">
        <f t="shared" si="3"/>
        <v>0</v>
      </c>
      <c r="AA284" s="34">
        <v>46107.0</v>
      </c>
      <c r="AB284" s="56" t="s">
        <v>1683</v>
      </c>
    </row>
    <row r="285">
      <c r="B285" s="56" t="s">
        <v>1684</v>
      </c>
      <c r="D285" s="57">
        <v>9.858044744E9</v>
      </c>
      <c r="E285" s="56" t="s">
        <v>1685</v>
      </c>
      <c r="F285" s="56" t="s">
        <v>42</v>
      </c>
      <c r="G285" s="56" t="s">
        <v>103</v>
      </c>
      <c r="H285" s="56" t="s">
        <v>70</v>
      </c>
      <c r="I285" s="61"/>
      <c r="J285" s="61"/>
      <c r="K285" s="57" t="s">
        <v>1686</v>
      </c>
      <c r="L285" s="57" t="s">
        <v>1687</v>
      </c>
      <c r="M285" s="56">
        <v>8367.0</v>
      </c>
      <c r="R285" s="59" t="s">
        <v>1688</v>
      </c>
      <c r="S285" s="59">
        <v>9.760843153E9</v>
      </c>
      <c r="T285" s="59">
        <v>2.2658262E7</v>
      </c>
      <c r="U285" s="67"/>
      <c r="V285" s="60">
        <v>45980.0</v>
      </c>
      <c r="W285" s="58">
        <f t="shared" si="5"/>
        <v>46160</v>
      </c>
      <c r="X285" s="56" t="s">
        <v>50</v>
      </c>
      <c r="Y285" s="60" t="str">
        <f t="shared" si="2"/>
        <v>Active</v>
      </c>
      <c r="Z285" s="59">
        <f t="shared" si="3"/>
        <v>45</v>
      </c>
      <c r="AA285" s="34">
        <v>46160.0</v>
      </c>
      <c r="AB285" s="56" t="s">
        <v>1689</v>
      </c>
      <c r="AC285" s="56">
        <v>9.844816081E9</v>
      </c>
    </row>
    <row r="286">
      <c r="B286" s="56" t="s">
        <v>1658</v>
      </c>
      <c r="D286" s="57">
        <v>9.851148567E9</v>
      </c>
      <c r="E286" s="56" t="s">
        <v>1659</v>
      </c>
      <c r="F286" s="56" t="s">
        <v>42</v>
      </c>
      <c r="G286" s="56" t="s">
        <v>103</v>
      </c>
      <c r="H286" s="56" t="s">
        <v>715</v>
      </c>
      <c r="I286" s="61"/>
      <c r="J286" s="61"/>
      <c r="K286" s="61"/>
      <c r="L286" s="61"/>
      <c r="M286" s="56">
        <v>1099.0</v>
      </c>
      <c r="R286" s="59" t="s">
        <v>1690</v>
      </c>
      <c r="S286" s="59">
        <v>9.760837716E9</v>
      </c>
      <c r="T286" s="59">
        <v>1.4633176E7</v>
      </c>
      <c r="U286" s="67"/>
      <c r="V286" s="60">
        <v>45884.0</v>
      </c>
      <c r="W286" s="58">
        <f t="shared" si="5"/>
        <v>46249</v>
      </c>
      <c r="X286" s="56" t="s">
        <v>1338</v>
      </c>
      <c r="Y286" s="60" t="str">
        <f t="shared" si="2"/>
        <v>Active</v>
      </c>
      <c r="Z286" s="59">
        <f t="shared" si="3"/>
        <v>134</v>
      </c>
      <c r="AA286" s="34">
        <v>46247.0</v>
      </c>
      <c r="AB286" s="56" t="s">
        <v>1691</v>
      </c>
    </row>
    <row r="287">
      <c r="B287" s="56" t="s">
        <v>1692</v>
      </c>
      <c r="C287" s="56" t="s">
        <v>850</v>
      </c>
      <c r="D287" s="57">
        <v>9.858073556E9</v>
      </c>
      <c r="E287" s="56" t="s">
        <v>1685</v>
      </c>
      <c r="F287" s="56" t="s">
        <v>1445</v>
      </c>
      <c r="G287" s="56" t="s">
        <v>103</v>
      </c>
      <c r="H287" s="56" t="s">
        <v>70</v>
      </c>
      <c r="I287" s="61"/>
      <c r="J287" s="61"/>
      <c r="K287" s="61"/>
      <c r="L287" s="61"/>
      <c r="M287" s="56">
        <v>8364.0</v>
      </c>
      <c r="R287" s="59" t="s">
        <v>1693</v>
      </c>
      <c r="S287" s="73">
        <v>9.760843908E9</v>
      </c>
      <c r="T287" s="59">
        <v>3.8721908E7</v>
      </c>
      <c r="U287" s="59">
        <v>7.9432291E7</v>
      </c>
      <c r="V287" s="60">
        <v>45981.0</v>
      </c>
      <c r="W287" s="58">
        <f t="shared" si="5"/>
        <v>46161</v>
      </c>
      <c r="X287" s="56" t="s">
        <v>50</v>
      </c>
      <c r="Y287" s="60" t="str">
        <f t="shared" si="2"/>
        <v>Active</v>
      </c>
      <c r="Z287" s="59">
        <f t="shared" si="3"/>
        <v>46</v>
      </c>
      <c r="AA287" s="34">
        <v>46161.0</v>
      </c>
      <c r="AB287" s="56" t="s">
        <v>1694</v>
      </c>
      <c r="AC287" s="56" t="s">
        <v>1695</v>
      </c>
    </row>
    <row r="288">
      <c r="B288" s="56" t="s">
        <v>1696</v>
      </c>
      <c r="D288" s="57">
        <v>9.80329007E9</v>
      </c>
      <c r="E288" s="56" t="s">
        <v>1697</v>
      </c>
      <c r="F288" s="56" t="s">
        <v>1445</v>
      </c>
      <c r="G288" s="56" t="s">
        <v>103</v>
      </c>
      <c r="H288" s="56" t="s">
        <v>1698</v>
      </c>
      <c r="I288" s="61"/>
      <c r="J288" s="61"/>
      <c r="K288" s="61"/>
      <c r="L288" s="61"/>
      <c r="M288" s="56">
        <v>9909.0</v>
      </c>
      <c r="R288" s="59" t="s">
        <v>1699</v>
      </c>
      <c r="S288" s="73">
        <v>9.760844784E9</v>
      </c>
      <c r="T288" s="59">
        <v>1.8674233E7</v>
      </c>
      <c r="U288" s="59">
        <v>7.1272417E7</v>
      </c>
      <c r="V288" s="60">
        <v>45981.0</v>
      </c>
      <c r="W288" s="58">
        <f t="shared" si="5"/>
        <v>46161</v>
      </c>
      <c r="X288" s="56" t="s">
        <v>50</v>
      </c>
      <c r="Y288" s="60" t="str">
        <f t="shared" si="2"/>
        <v>Active</v>
      </c>
      <c r="Z288" s="59">
        <f t="shared" si="3"/>
        <v>46</v>
      </c>
      <c r="AA288" s="34">
        <v>46161.0</v>
      </c>
      <c r="AB288" s="56" t="s">
        <v>1700</v>
      </c>
      <c r="AC288" s="56" t="s">
        <v>1701</v>
      </c>
    </row>
    <row r="289">
      <c r="B289" s="56" t="s">
        <v>1692</v>
      </c>
      <c r="D289" s="57">
        <v>9.858073556E9</v>
      </c>
      <c r="E289" s="56" t="s">
        <v>1685</v>
      </c>
      <c r="F289" s="56" t="s">
        <v>1445</v>
      </c>
      <c r="G289" s="56" t="s">
        <v>103</v>
      </c>
      <c r="H289" s="56" t="s">
        <v>70</v>
      </c>
      <c r="I289" s="61"/>
      <c r="J289" s="61"/>
      <c r="K289" s="57" t="s">
        <v>1702</v>
      </c>
      <c r="L289" s="57" t="s">
        <v>1703</v>
      </c>
      <c r="M289" s="56">
        <v>8364.0</v>
      </c>
      <c r="R289" s="59" t="s">
        <v>1704</v>
      </c>
      <c r="S289" s="73">
        <v>9.760845076E9</v>
      </c>
      <c r="T289" s="59">
        <v>1.8082268E7</v>
      </c>
      <c r="U289" s="59">
        <v>2.0929284E7</v>
      </c>
      <c r="V289" s="60">
        <v>45981.0</v>
      </c>
      <c r="W289" s="58">
        <f t="shared" si="5"/>
        <v>46161</v>
      </c>
      <c r="X289" s="56" t="s">
        <v>50</v>
      </c>
      <c r="Y289" s="60" t="str">
        <f t="shared" si="2"/>
        <v>Active</v>
      </c>
      <c r="Z289" s="59">
        <f t="shared" si="3"/>
        <v>46</v>
      </c>
      <c r="AA289" s="34">
        <v>46161.0</v>
      </c>
      <c r="AB289" s="56" t="s">
        <v>1705</v>
      </c>
      <c r="AC289" s="56" t="s">
        <v>1706</v>
      </c>
    </row>
    <row r="290">
      <c r="B290" s="56" t="s">
        <v>1707</v>
      </c>
      <c r="D290" s="57">
        <v>9.851146591E9</v>
      </c>
      <c r="E290" s="56" t="s">
        <v>1708</v>
      </c>
      <c r="F290" s="56" t="s">
        <v>42</v>
      </c>
      <c r="G290" s="56" t="s">
        <v>103</v>
      </c>
      <c r="H290" s="56" t="s">
        <v>1709</v>
      </c>
      <c r="I290" s="61"/>
      <c r="J290" s="61"/>
      <c r="K290" s="57">
        <v>9.851146591E9</v>
      </c>
      <c r="L290" s="57" t="s">
        <v>1710</v>
      </c>
      <c r="M290" s="56">
        <v>3346.0</v>
      </c>
      <c r="R290" s="67"/>
      <c r="S290" s="56">
        <v>9.702999879E9</v>
      </c>
      <c r="T290" s="67"/>
      <c r="U290" s="60"/>
      <c r="V290" s="60">
        <v>46007.0</v>
      </c>
      <c r="W290" s="58">
        <f t="shared" si="5"/>
        <v>46035</v>
      </c>
      <c r="X290" s="56" t="s">
        <v>98</v>
      </c>
      <c r="Y290" s="60" t="str">
        <f t="shared" si="2"/>
        <v>Expired</v>
      </c>
      <c r="Z290" s="59">
        <f t="shared" si="3"/>
        <v>0</v>
      </c>
      <c r="AA290" s="34">
        <v>46035.0</v>
      </c>
      <c r="AB290" s="56" t="s">
        <v>1711</v>
      </c>
      <c r="AC290" s="56" t="s">
        <v>1712</v>
      </c>
    </row>
    <row r="291">
      <c r="B291" s="56" t="s">
        <v>379</v>
      </c>
      <c r="D291" s="57">
        <v>9.852832686E9</v>
      </c>
      <c r="E291" s="56" t="s">
        <v>1713</v>
      </c>
      <c r="F291" s="56" t="s">
        <v>1359</v>
      </c>
      <c r="G291" s="56" t="s">
        <v>103</v>
      </c>
      <c r="H291" s="56" t="s">
        <v>220</v>
      </c>
      <c r="I291" s="61"/>
      <c r="J291" s="61"/>
      <c r="K291" s="57">
        <v>9.852832686E9</v>
      </c>
      <c r="L291" s="57" t="s">
        <v>1714</v>
      </c>
      <c r="M291" s="56">
        <v>9976.0</v>
      </c>
      <c r="N291" s="56" t="s">
        <v>1715</v>
      </c>
      <c r="O291" s="56" t="s">
        <v>1716</v>
      </c>
      <c r="Q291" s="56" t="s">
        <v>74</v>
      </c>
      <c r="R291" s="59" t="s">
        <v>1717</v>
      </c>
      <c r="S291" s="73">
        <v>9.760844495E9</v>
      </c>
      <c r="T291" s="59">
        <v>2.8855142E7</v>
      </c>
      <c r="U291" s="59">
        <v>3.006616E7</v>
      </c>
      <c r="V291" s="60">
        <v>45985.0</v>
      </c>
      <c r="W291" s="58">
        <f t="shared" si="5"/>
        <v>46350</v>
      </c>
      <c r="X291" s="56" t="s">
        <v>1338</v>
      </c>
      <c r="Y291" s="60" t="str">
        <f t="shared" si="2"/>
        <v>Active</v>
      </c>
      <c r="Z291" s="59">
        <f t="shared" si="3"/>
        <v>235</v>
      </c>
      <c r="AA291" s="34">
        <v>46165.0</v>
      </c>
      <c r="AB291" s="56" t="s">
        <v>1718</v>
      </c>
      <c r="AC291" s="56">
        <v>9.852832686E9</v>
      </c>
    </row>
    <row r="292">
      <c r="B292" s="56" t="s">
        <v>379</v>
      </c>
      <c r="D292" s="57">
        <v>9.852832686E9</v>
      </c>
      <c r="E292" s="56" t="s">
        <v>1713</v>
      </c>
      <c r="F292" s="56" t="s">
        <v>1359</v>
      </c>
      <c r="G292" s="56" t="s">
        <v>103</v>
      </c>
      <c r="H292" s="56" t="s">
        <v>220</v>
      </c>
      <c r="I292" s="61"/>
      <c r="J292" s="61"/>
      <c r="K292" s="57">
        <v>9.852832686E9</v>
      </c>
      <c r="L292" s="57" t="s">
        <v>1714</v>
      </c>
      <c r="M292" s="56">
        <v>9976.0</v>
      </c>
      <c r="N292" s="56" t="s">
        <v>1719</v>
      </c>
      <c r="O292" s="56" t="s">
        <v>1720</v>
      </c>
      <c r="Q292" s="56" t="s">
        <v>74</v>
      </c>
      <c r="R292" s="59" t="s">
        <v>1721</v>
      </c>
      <c r="S292" s="73">
        <v>9.760844506E9</v>
      </c>
      <c r="T292" s="59">
        <v>2.2876305E7</v>
      </c>
      <c r="U292" s="59">
        <v>4.6483171E7</v>
      </c>
      <c r="V292" s="60">
        <v>45985.0</v>
      </c>
      <c r="W292" s="58">
        <f t="shared" si="5"/>
        <v>46350</v>
      </c>
      <c r="X292" s="56" t="s">
        <v>1338</v>
      </c>
      <c r="Y292" s="60" t="str">
        <f t="shared" si="2"/>
        <v>Active</v>
      </c>
      <c r="Z292" s="59">
        <f t="shared" si="3"/>
        <v>235</v>
      </c>
      <c r="AA292" s="34">
        <v>46165.0</v>
      </c>
      <c r="AB292" s="56" t="s">
        <v>1722</v>
      </c>
      <c r="AC292" s="56">
        <v>9.852832686E9</v>
      </c>
    </row>
    <row r="293">
      <c r="D293" s="69"/>
      <c r="I293" s="61"/>
      <c r="J293" s="61"/>
      <c r="K293" s="61"/>
      <c r="L293" s="61"/>
      <c r="M293" s="56">
        <v>5884.0</v>
      </c>
      <c r="N293" s="56" t="s">
        <v>1723</v>
      </c>
      <c r="Q293" s="56" t="s">
        <v>74</v>
      </c>
      <c r="R293" s="59" t="s">
        <v>1724</v>
      </c>
      <c r="S293" s="59"/>
      <c r="T293" s="59">
        <v>2.3407272E7</v>
      </c>
      <c r="U293" s="59">
        <v>2.8211253E7</v>
      </c>
      <c r="V293" s="67"/>
      <c r="W293" s="71" t="str">
        <f t="shared" si="5"/>
        <v/>
      </c>
      <c r="Y293" s="60" t="str">
        <f t="shared" si="2"/>
        <v>Expired</v>
      </c>
      <c r="Z293" s="59">
        <f t="shared" si="3"/>
        <v>0</v>
      </c>
    </row>
    <row r="294">
      <c r="B294" s="56" t="s">
        <v>1725</v>
      </c>
      <c r="D294" s="57">
        <v>9.85100045E9</v>
      </c>
      <c r="E294" s="56" t="s">
        <v>1141</v>
      </c>
      <c r="F294" s="56" t="s">
        <v>1445</v>
      </c>
      <c r="G294" s="56" t="s">
        <v>103</v>
      </c>
      <c r="H294" s="56" t="s">
        <v>715</v>
      </c>
      <c r="I294" s="61"/>
      <c r="J294" s="61"/>
      <c r="K294" s="57" t="s">
        <v>1566</v>
      </c>
      <c r="L294" s="57" t="s">
        <v>1567</v>
      </c>
      <c r="M294" s="56">
        <v>9813.0</v>
      </c>
      <c r="N294" s="56" t="s">
        <v>1726</v>
      </c>
      <c r="O294" s="56" t="s">
        <v>1727</v>
      </c>
      <c r="P294" s="56" t="s">
        <v>1728</v>
      </c>
      <c r="Q294" s="56" t="s">
        <v>74</v>
      </c>
      <c r="R294" s="59" t="s">
        <v>1729</v>
      </c>
      <c r="S294" s="59">
        <v>9.760843847E9</v>
      </c>
      <c r="T294" s="59">
        <v>2.9974231E7</v>
      </c>
      <c r="U294" s="59">
        <v>1.6055256E7</v>
      </c>
      <c r="V294" s="60">
        <v>45987.0</v>
      </c>
      <c r="W294" s="58">
        <f t="shared" si="5"/>
        <v>46352</v>
      </c>
      <c r="X294" s="56" t="s">
        <v>76</v>
      </c>
      <c r="Y294" s="60" t="str">
        <f t="shared" si="2"/>
        <v>Active</v>
      </c>
      <c r="Z294" s="59">
        <f t="shared" si="3"/>
        <v>237</v>
      </c>
      <c r="AA294" s="34">
        <v>46167.0</v>
      </c>
      <c r="AB294" s="75" t="s">
        <v>1730</v>
      </c>
      <c r="AC294" s="56" t="s">
        <v>1731</v>
      </c>
    </row>
    <row r="295">
      <c r="B295" s="56" t="s">
        <v>1725</v>
      </c>
      <c r="D295" s="57">
        <v>9.85100045E9</v>
      </c>
      <c r="E295" s="56" t="s">
        <v>1141</v>
      </c>
      <c r="F295" s="56" t="s">
        <v>1445</v>
      </c>
      <c r="G295" s="56" t="s">
        <v>103</v>
      </c>
      <c r="H295" s="56" t="s">
        <v>715</v>
      </c>
      <c r="I295" s="61"/>
      <c r="J295" s="61"/>
      <c r="K295" s="57" t="s">
        <v>1566</v>
      </c>
      <c r="L295" s="57" t="s">
        <v>1567</v>
      </c>
      <c r="M295" s="56">
        <v>9814.0</v>
      </c>
      <c r="N295" s="56" t="s">
        <v>1732</v>
      </c>
      <c r="O295" s="56" t="s">
        <v>1733</v>
      </c>
      <c r="Q295" s="56" t="s">
        <v>74</v>
      </c>
      <c r="R295" s="59" t="s">
        <v>1734</v>
      </c>
      <c r="S295" s="73">
        <v>9.760845238E9</v>
      </c>
      <c r="T295" s="59">
        <v>3.1702415E7</v>
      </c>
      <c r="U295" s="59">
        <v>1.7448296E7</v>
      </c>
      <c r="V295" s="60">
        <v>45986.0</v>
      </c>
      <c r="W295" s="58">
        <f t="shared" si="5"/>
        <v>46351</v>
      </c>
      <c r="X295" s="56" t="s">
        <v>76</v>
      </c>
      <c r="Y295" s="60" t="str">
        <f t="shared" si="2"/>
        <v>Active</v>
      </c>
      <c r="Z295" s="59">
        <f t="shared" si="3"/>
        <v>236</v>
      </c>
      <c r="AA295" s="34">
        <v>46166.0</v>
      </c>
      <c r="AB295" s="75" t="s">
        <v>1735</v>
      </c>
      <c r="AC295" s="56" t="s">
        <v>1736</v>
      </c>
    </row>
    <row r="296">
      <c r="B296" s="56" t="s">
        <v>1737</v>
      </c>
      <c r="D296" s="57">
        <v>9.856057671E9</v>
      </c>
      <c r="E296" s="56" t="s">
        <v>1738</v>
      </c>
      <c r="F296" s="56" t="s">
        <v>1445</v>
      </c>
      <c r="G296" s="56" t="s">
        <v>103</v>
      </c>
      <c r="H296" s="56" t="s">
        <v>596</v>
      </c>
      <c r="I296" s="61"/>
      <c r="J296" s="61"/>
      <c r="K296" s="57">
        <v>9.856057671E9</v>
      </c>
      <c r="L296" s="57" t="s">
        <v>320</v>
      </c>
      <c r="M296" s="56">
        <v>1.0</v>
      </c>
      <c r="N296" s="56" t="s">
        <v>1723</v>
      </c>
      <c r="Q296" s="56" t="s">
        <v>74</v>
      </c>
      <c r="R296" s="59" t="s">
        <v>1739</v>
      </c>
      <c r="S296" s="73">
        <v>9.760844688E9</v>
      </c>
      <c r="T296" s="59">
        <v>7.7407978E7</v>
      </c>
      <c r="U296" s="59">
        <v>2.1193147E7</v>
      </c>
      <c r="V296" s="60">
        <v>46022.0</v>
      </c>
      <c r="W296" s="58">
        <f t="shared" si="5"/>
        <v>46387</v>
      </c>
      <c r="X296" s="56" t="s">
        <v>76</v>
      </c>
      <c r="Y296" s="60" t="str">
        <f t="shared" si="2"/>
        <v>Active</v>
      </c>
      <c r="Z296" s="59">
        <f t="shared" si="3"/>
        <v>272</v>
      </c>
      <c r="AA296" s="68">
        <f t="shared" ref="AA296:AA297" si="6">V296+180</f>
        <v>46202</v>
      </c>
      <c r="AB296" s="56" t="s">
        <v>1740</v>
      </c>
      <c r="AC296" s="56">
        <v>9.856057671E9</v>
      </c>
    </row>
    <row r="297">
      <c r="B297" s="56" t="s">
        <v>1737</v>
      </c>
      <c r="D297" s="57">
        <v>9.856057671E9</v>
      </c>
      <c r="E297" s="56" t="s">
        <v>1738</v>
      </c>
      <c r="F297" s="56" t="s">
        <v>1445</v>
      </c>
      <c r="G297" s="56" t="s">
        <v>103</v>
      </c>
      <c r="H297" s="56" t="s">
        <v>596</v>
      </c>
      <c r="I297" s="61"/>
      <c r="J297" s="61"/>
      <c r="K297" s="57">
        <v>9.856057671E9</v>
      </c>
      <c r="L297" s="57" t="s">
        <v>320</v>
      </c>
      <c r="M297" s="56">
        <v>2.0</v>
      </c>
      <c r="N297" s="56" t="s">
        <v>1723</v>
      </c>
      <c r="Q297" s="56" t="s">
        <v>74</v>
      </c>
      <c r="R297" s="59" t="s">
        <v>1741</v>
      </c>
      <c r="S297" s="73">
        <v>9.7608451E9</v>
      </c>
      <c r="T297" s="59">
        <v>1.3414282E7</v>
      </c>
      <c r="U297" s="59">
        <v>1.6399301E7</v>
      </c>
      <c r="V297" s="60">
        <v>46022.0</v>
      </c>
      <c r="W297" s="58">
        <f t="shared" si="5"/>
        <v>46387</v>
      </c>
      <c r="X297" s="56" t="s">
        <v>76</v>
      </c>
      <c r="Y297" s="60" t="str">
        <f t="shared" si="2"/>
        <v>Active</v>
      </c>
      <c r="Z297" s="59">
        <f t="shared" si="3"/>
        <v>272</v>
      </c>
      <c r="AA297" s="68">
        <f t="shared" si="6"/>
        <v>46202</v>
      </c>
      <c r="AB297" s="56" t="s">
        <v>1742</v>
      </c>
      <c r="AC297" s="56">
        <v>9.856057671E9</v>
      </c>
    </row>
    <row r="298">
      <c r="D298" s="69"/>
      <c r="I298" s="61"/>
      <c r="J298" s="61"/>
      <c r="K298" s="61"/>
      <c r="L298" s="61"/>
      <c r="M298" s="56">
        <v>5695.0</v>
      </c>
      <c r="P298" s="56" t="s">
        <v>1743</v>
      </c>
      <c r="Q298" s="56" t="s">
        <v>74</v>
      </c>
      <c r="R298" s="59" t="s">
        <v>662</v>
      </c>
      <c r="S298" s="59">
        <v>9.760844729E9</v>
      </c>
      <c r="T298" s="59">
        <v>1.6001541E7</v>
      </c>
      <c r="U298" s="59">
        <v>2.8173135E7</v>
      </c>
      <c r="V298" s="67"/>
      <c r="W298" s="71" t="str">
        <f t="shared" si="5"/>
        <v/>
      </c>
      <c r="Y298" s="60" t="str">
        <f t="shared" si="2"/>
        <v>Expired</v>
      </c>
      <c r="Z298" s="59">
        <f t="shared" si="3"/>
        <v>0</v>
      </c>
      <c r="AA298" s="34">
        <v>46172.0</v>
      </c>
      <c r="AB298" s="56" t="s">
        <v>1744</v>
      </c>
    </row>
    <row r="299">
      <c r="B299" s="56" t="s">
        <v>1745</v>
      </c>
      <c r="D299" s="57">
        <v>9.81909269E9</v>
      </c>
      <c r="E299" s="56" t="s">
        <v>1746</v>
      </c>
      <c r="F299" s="56" t="s">
        <v>1445</v>
      </c>
      <c r="G299" s="56" t="s">
        <v>103</v>
      </c>
      <c r="H299" s="56" t="s">
        <v>920</v>
      </c>
      <c r="I299" s="61"/>
      <c r="J299" s="61"/>
      <c r="K299" s="57">
        <v>9.81909269E9</v>
      </c>
      <c r="L299" s="57" t="s">
        <v>1747</v>
      </c>
      <c r="M299" s="56">
        <v>9735.0</v>
      </c>
      <c r="N299" s="56" t="s">
        <v>1748</v>
      </c>
      <c r="O299" s="56" t="s">
        <v>1749</v>
      </c>
      <c r="P299" s="56" t="s">
        <v>53</v>
      </c>
      <c r="W299" s="71" t="str">
        <f t="shared" si="5"/>
        <v/>
      </c>
      <c r="Y299" s="60" t="str">
        <f t="shared" si="2"/>
        <v>Expired</v>
      </c>
      <c r="Z299" s="59">
        <f t="shared" si="3"/>
        <v>0</v>
      </c>
      <c r="AB299" s="56" t="s">
        <v>1750</v>
      </c>
    </row>
    <row r="300">
      <c r="B300" s="56" t="s">
        <v>1745</v>
      </c>
      <c r="D300" s="57">
        <v>9.81909269E9</v>
      </c>
      <c r="E300" s="56" t="s">
        <v>1746</v>
      </c>
      <c r="F300" s="56" t="s">
        <v>1445</v>
      </c>
      <c r="G300" s="56" t="s">
        <v>103</v>
      </c>
      <c r="H300" s="56" t="s">
        <v>920</v>
      </c>
      <c r="I300" s="61"/>
      <c r="J300" s="61"/>
      <c r="K300" s="57">
        <v>9.81909269E9</v>
      </c>
      <c r="L300" s="57" t="s">
        <v>1747</v>
      </c>
      <c r="M300" s="56">
        <v>9736.0</v>
      </c>
      <c r="N300" s="56" t="s">
        <v>1751</v>
      </c>
      <c r="O300" s="56" t="s">
        <v>1752</v>
      </c>
      <c r="W300" s="71" t="str">
        <f t="shared" si="5"/>
        <v/>
      </c>
      <c r="Y300" s="60" t="str">
        <f t="shared" si="2"/>
        <v>Expired</v>
      </c>
      <c r="Z300" s="59">
        <f t="shared" si="3"/>
        <v>0</v>
      </c>
      <c r="AB300" s="56" t="s">
        <v>1750</v>
      </c>
    </row>
    <row r="301">
      <c r="B301" s="56" t="s">
        <v>1753</v>
      </c>
      <c r="D301" s="57">
        <v>9.840501124E9</v>
      </c>
      <c r="E301" s="56" t="s">
        <v>1754</v>
      </c>
      <c r="F301" s="56" t="s">
        <v>42</v>
      </c>
      <c r="G301" s="56" t="s">
        <v>1012</v>
      </c>
      <c r="H301" s="56" t="s">
        <v>1755</v>
      </c>
      <c r="I301" s="61"/>
      <c r="J301" s="61"/>
      <c r="K301" s="57" t="s">
        <v>1756</v>
      </c>
      <c r="L301" s="57" t="s">
        <v>1757</v>
      </c>
      <c r="M301" s="56">
        <v>395.0</v>
      </c>
      <c r="N301" s="56" t="s">
        <v>1758</v>
      </c>
      <c r="S301" s="76">
        <v>9.702999498E9</v>
      </c>
      <c r="T301" s="67"/>
      <c r="U301" s="67"/>
      <c r="V301" s="60">
        <v>46009.0</v>
      </c>
      <c r="W301" s="58">
        <f t="shared" si="5"/>
        <v>46037</v>
      </c>
      <c r="X301" s="59" t="s">
        <v>98</v>
      </c>
      <c r="Y301" s="60" t="str">
        <f t="shared" si="2"/>
        <v>Expired</v>
      </c>
      <c r="Z301" s="59">
        <f t="shared" si="3"/>
        <v>0</v>
      </c>
      <c r="AA301" s="67"/>
      <c r="AB301" s="59" t="s">
        <v>1759</v>
      </c>
      <c r="AC301" s="59" t="s">
        <v>1760</v>
      </c>
    </row>
    <row r="302">
      <c r="B302" s="56" t="s">
        <v>1761</v>
      </c>
      <c r="D302" s="57">
        <v>9.858750936E9</v>
      </c>
      <c r="E302" s="56" t="s">
        <v>1762</v>
      </c>
      <c r="F302" s="56" t="s">
        <v>1763</v>
      </c>
      <c r="G302" s="56" t="s">
        <v>144</v>
      </c>
      <c r="H302" s="56" t="s">
        <v>1764</v>
      </c>
      <c r="I302" s="61"/>
      <c r="J302" s="61"/>
      <c r="K302" s="61"/>
      <c r="L302" s="61"/>
      <c r="M302" s="56">
        <v>1539.0</v>
      </c>
      <c r="P302" s="56" t="s">
        <v>1765</v>
      </c>
      <c r="R302" s="56" t="s">
        <v>1766</v>
      </c>
      <c r="S302" s="59">
        <v>9.760843943E9</v>
      </c>
      <c r="T302" s="59">
        <v>7.2578512E7</v>
      </c>
      <c r="U302" s="59">
        <v>8.7111354E7</v>
      </c>
      <c r="V302" s="60">
        <v>45999.0</v>
      </c>
      <c r="W302" s="58">
        <f t="shared" si="5"/>
        <v>46364</v>
      </c>
      <c r="X302" s="56" t="s">
        <v>76</v>
      </c>
      <c r="Y302" s="60" t="str">
        <f t="shared" si="2"/>
        <v>Active</v>
      </c>
      <c r="Z302" s="59">
        <f t="shared" si="3"/>
        <v>249</v>
      </c>
      <c r="AA302" s="60">
        <f>W302+180</f>
        <v>46544</v>
      </c>
      <c r="AB302" s="59" t="s">
        <v>1767</v>
      </c>
      <c r="AC302" s="59">
        <v>9.858750936E9</v>
      </c>
    </row>
    <row r="303">
      <c r="B303" s="56" t="s">
        <v>1768</v>
      </c>
      <c r="D303" s="57">
        <v>9.869161247E9</v>
      </c>
      <c r="E303" s="56" t="s">
        <v>1769</v>
      </c>
      <c r="F303" s="56" t="s">
        <v>1763</v>
      </c>
      <c r="G303" s="56" t="s">
        <v>1012</v>
      </c>
      <c r="H303" s="56" t="s">
        <v>1576</v>
      </c>
      <c r="I303" s="61"/>
      <c r="J303" s="61"/>
      <c r="K303" s="57" t="s">
        <v>1770</v>
      </c>
      <c r="L303" s="57" t="s">
        <v>1771</v>
      </c>
      <c r="M303" s="56">
        <v>576.0</v>
      </c>
      <c r="N303" s="56" t="s">
        <v>1772</v>
      </c>
      <c r="O303" s="56" t="s">
        <v>1773</v>
      </c>
      <c r="P303" s="77" t="s">
        <v>1774</v>
      </c>
      <c r="R303" s="56" t="s">
        <v>1775</v>
      </c>
      <c r="S303" s="72">
        <v>9.760843247E9</v>
      </c>
      <c r="T303" s="59">
        <v>2.3652186E7</v>
      </c>
      <c r="U303" s="59">
        <v>7.5893162E7</v>
      </c>
      <c r="V303" s="60">
        <v>46003.0</v>
      </c>
      <c r="W303" s="58">
        <f t="shared" si="5"/>
        <v>46183</v>
      </c>
      <c r="X303" s="59" t="s">
        <v>50</v>
      </c>
      <c r="Y303" s="60" t="str">
        <f t="shared" si="2"/>
        <v>Active</v>
      </c>
      <c r="Z303" s="59">
        <f t="shared" si="3"/>
        <v>68</v>
      </c>
      <c r="AA303" s="60">
        <v>46183.0</v>
      </c>
      <c r="AB303" s="59" t="s">
        <v>1776</v>
      </c>
      <c r="AC303" s="59">
        <v>9.869161247E9</v>
      </c>
    </row>
    <row r="304">
      <c r="D304" s="69"/>
      <c r="I304" s="61"/>
      <c r="J304" s="61"/>
      <c r="K304" s="61"/>
      <c r="L304" s="61"/>
      <c r="M304" s="56">
        <v>3251.0</v>
      </c>
      <c r="N304" s="56" t="s">
        <v>1777</v>
      </c>
      <c r="P304" s="77" t="s">
        <v>1778</v>
      </c>
      <c r="R304" s="56" t="s">
        <v>1779</v>
      </c>
      <c r="S304" s="72">
        <v>9.760843258E9</v>
      </c>
      <c r="T304" s="59">
        <v>2.3168163E7</v>
      </c>
      <c r="U304" s="59">
        <v>2.5926434E7</v>
      </c>
      <c r="V304" s="67"/>
      <c r="W304" s="71" t="str">
        <f t="shared" si="5"/>
        <v/>
      </c>
      <c r="X304" s="67"/>
      <c r="Y304" s="60" t="str">
        <f t="shared" si="2"/>
        <v>Expired</v>
      </c>
      <c r="Z304" s="59">
        <f t="shared" si="3"/>
        <v>0</v>
      </c>
      <c r="AA304" s="67"/>
      <c r="AB304" s="67"/>
      <c r="AC304" s="67"/>
    </row>
    <row r="305">
      <c r="D305" s="69"/>
      <c r="I305" s="61"/>
      <c r="J305" s="61"/>
      <c r="K305" s="61"/>
      <c r="L305" s="61"/>
      <c r="P305" s="77" t="s">
        <v>1780</v>
      </c>
      <c r="R305" s="56" t="s">
        <v>1781</v>
      </c>
      <c r="S305" s="72">
        <v>9.760843264E9</v>
      </c>
      <c r="T305" s="59">
        <v>2.0284437E7</v>
      </c>
      <c r="U305" s="59">
        <v>2.5897285E7</v>
      </c>
      <c r="V305" s="67"/>
      <c r="W305" s="71" t="str">
        <f t="shared" si="5"/>
        <v/>
      </c>
      <c r="X305" s="67"/>
      <c r="Y305" s="60" t="str">
        <f t="shared" si="2"/>
        <v>Expired</v>
      </c>
      <c r="Z305" s="59">
        <f t="shared" si="3"/>
        <v>0</v>
      </c>
      <c r="AA305" s="67"/>
      <c r="AB305" s="67"/>
      <c r="AC305" s="67"/>
    </row>
    <row r="306">
      <c r="D306" s="69"/>
      <c r="I306" s="61"/>
      <c r="J306" s="61"/>
      <c r="K306" s="61"/>
      <c r="L306" s="61"/>
      <c r="M306" s="56">
        <v>2903.0</v>
      </c>
      <c r="N306" s="56" t="s">
        <v>1460</v>
      </c>
      <c r="P306" s="77" t="s">
        <v>1782</v>
      </c>
      <c r="R306" s="56" t="s">
        <v>1781</v>
      </c>
      <c r="S306" s="72">
        <v>9.760843944E9</v>
      </c>
      <c r="T306" s="59">
        <v>2.0284437E7</v>
      </c>
      <c r="U306" s="59">
        <v>2.5897285E7</v>
      </c>
      <c r="V306" s="67"/>
      <c r="W306" s="71" t="str">
        <f t="shared" si="5"/>
        <v/>
      </c>
      <c r="X306" s="67"/>
      <c r="Y306" s="60" t="str">
        <f t="shared" si="2"/>
        <v>Expired</v>
      </c>
      <c r="Z306" s="59">
        <f t="shared" si="3"/>
        <v>0</v>
      </c>
      <c r="AA306" s="67"/>
      <c r="AB306" s="67"/>
      <c r="AC306" s="67"/>
    </row>
    <row r="307">
      <c r="B307" s="56" t="s">
        <v>1783</v>
      </c>
      <c r="D307" s="57">
        <v>9.851322615E9</v>
      </c>
      <c r="E307" s="56" t="s">
        <v>1784</v>
      </c>
      <c r="F307" s="56" t="s">
        <v>42</v>
      </c>
      <c r="G307" s="56" t="s">
        <v>103</v>
      </c>
      <c r="H307" s="56" t="s">
        <v>510</v>
      </c>
      <c r="I307" s="61"/>
      <c r="J307" s="61"/>
      <c r="K307" s="57" t="s">
        <v>1785</v>
      </c>
      <c r="L307" s="57" t="s">
        <v>1786</v>
      </c>
      <c r="M307" s="56">
        <v>5212.0</v>
      </c>
      <c r="N307" s="56" t="s">
        <v>1787</v>
      </c>
      <c r="O307" s="56" t="s">
        <v>1788</v>
      </c>
      <c r="S307" s="76">
        <v>9.704934073E9</v>
      </c>
      <c r="T307" s="67"/>
      <c r="U307" s="67"/>
      <c r="V307" s="60">
        <v>46073.0</v>
      </c>
      <c r="W307" s="58">
        <f t="shared" si="5"/>
        <v>46101</v>
      </c>
      <c r="X307" s="59" t="s">
        <v>98</v>
      </c>
      <c r="Y307" s="60" t="str">
        <f t="shared" si="2"/>
        <v>Expired</v>
      </c>
      <c r="Z307" s="59">
        <f t="shared" si="3"/>
        <v>0</v>
      </c>
      <c r="AA307" s="67"/>
      <c r="AB307" s="59" t="s">
        <v>1789</v>
      </c>
      <c r="AC307" s="59">
        <v>9.851322615E9</v>
      </c>
    </row>
    <row r="308">
      <c r="B308" s="56" t="s">
        <v>1156</v>
      </c>
      <c r="D308" s="69"/>
      <c r="E308" s="56" t="s">
        <v>1157</v>
      </c>
      <c r="F308" s="56" t="s">
        <v>42</v>
      </c>
      <c r="G308" s="56" t="s">
        <v>103</v>
      </c>
      <c r="H308" s="56" t="s">
        <v>660</v>
      </c>
      <c r="I308" s="61"/>
      <c r="J308" s="61"/>
      <c r="K308" s="61"/>
      <c r="L308" s="61"/>
      <c r="M308" s="56">
        <v>457.0</v>
      </c>
      <c r="R308" s="56" t="s">
        <v>1790</v>
      </c>
      <c r="S308" s="78"/>
      <c r="T308" s="67"/>
      <c r="U308" s="67"/>
      <c r="V308" s="67"/>
      <c r="W308" s="71" t="str">
        <f t="shared" si="5"/>
        <v/>
      </c>
      <c r="X308" s="59" t="s">
        <v>1338</v>
      </c>
      <c r="Y308" s="60" t="str">
        <f t="shared" si="2"/>
        <v>Expired</v>
      </c>
      <c r="Z308" s="59">
        <f t="shared" si="3"/>
        <v>0</v>
      </c>
      <c r="AA308" s="60"/>
      <c r="AB308" s="59" t="s">
        <v>1791</v>
      </c>
      <c r="AC308" s="67"/>
    </row>
    <row r="309">
      <c r="B309" s="56" t="s">
        <v>1165</v>
      </c>
      <c r="C309" s="56" t="s">
        <v>40</v>
      </c>
      <c r="D309" s="56">
        <v>9.860927456E9</v>
      </c>
      <c r="E309" s="56" t="s">
        <v>1792</v>
      </c>
      <c r="F309" s="59" t="s">
        <v>42</v>
      </c>
      <c r="G309" s="56" t="s">
        <v>103</v>
      </c>
      <c r="H309" s="56" t="s">
        <v>70</v>
      </c>
      <c r="I309" s="57" t="s">
        <v>45</v>
      </c>
      <c r="J309" s="57"/>
      <c r="K309" s="57" t="s">
        <v>1167</v>
      </c>
      <c r="L309" s="57" t="s">
        <v>1168</v>
      </c>
      <c r="M309" s="64">
        <v>4244.0</v>
      </c>
      <c r="N309" s="64" t="s">
        <v>1793</v>
      </c>
      <c r="O309" s="64" t="s">
        <v>1794</v>
      </c>
      <c r="Q309" s="56" t="s">
        <v>1795</v>
      </c>
      <c r="S309" s="76">
        <v>9.804170623E9</v>
      </c>
      <c r="T309" s="67"/>
      <c r="U309" s="67"/>
      <c r="V309" s="60">
        <v>46091.0</v>
      </c>
      <c r="W309" s="58">
        <f t="shared" si="5"/>
        <v>46119</v>
      </c>
      <c r="X309" s="59" t="s">
        <v>1796</v>
      </c>
      <c r="Y309" s="60" t="str">
        <f t="shared" si="2"/>
        <v>Active</v>
      </c>
      <c r="Z309" s="59">
        <f t="shared" si="3"/>
        <v>4</v>
      </c>
      <c r="AA309" s="60">
        <f>V309+28</f>
        <v>46119</v>
      </c>
      <c r="AB309" s="59" t="s">
        <v>1797</v>
      </c>
      <c r="AC309" s="59" t="s">
        <v>1798</v>
      </c>
    </row>
    <row r="310">
      <c r="B310" s="59" t="s">
        <v>1799</v>
      </c>
      <c r="C310" s="67"/>
      <c r="D310" s="64">
        <v>9.804852165E9</v>
      </c>
      <c r="E310" s="59" t="s">
        <v>1800</v>
      </c>
      <c r="F310" s="59" t="s">
        <v>1445</v>
      </c>
      <c r="G310" s="59" t="s">
        <v>103</v>
      </c>
      <c r="H310" s="59" t="s">
        <v>232</v>
      </c>
      <c r="I310" s="65"/>
      <c r="J310" s="65"/>
      <c r="K310" s="64" t="s">
        <v>1801</v>
      </c>
      <c r="L310" s="64" t="s">
        <v>746</v>
      </c>
      <c r="M310" s="64">
        <v>7188.0</v>
      </c>
      <c r="N310" s="64" t="s">
        <v>1802</v>
      </c>
      <c r="O310" s="64" t="s">
        <v>1803</v>
      </c>
      <c r="P310" s="77" t="s">
        <v>1804</v>
      </c>
      <c r="Q310" s="56" t="s">
        <v>48</v>
      </c>
      <c r="R310" s="56" t="s">
        <v>1117</v>
      </c>
      <c r="S310" s="79" t="s">
        <v>1805</v>
      </c>
      <c r="T310" s="59">
        <v>2.3064312E7</v>
      </c>
      <c r="U310" s="59">
        <v>3.0854245E7</v>
      </c>
      <c r="V310" s="60">
        <v>46019.0</v>
      </c>
      <c r="W310" s="58">
        <f t="shared" si="5"/>
        <v>46199</v>
      </c>
      <c r="X310" s="59" t="s">
        <v>50</v>
      </c>
      <c r="Y310" s="60" t="str">
        <f t="shared" si="2"/>
        <v>Active</v>
      </c>
      <c r="Z310" s="59">
        <f t="shared" si="3"/>
        <v>84</v>
      </c>
      <c r="AA310" s="59" t="s">
        <v>1806</v>
      </c>
      <c r="AB310" s="59" t="s">
        <v>1807</v>
      </c>
      <c r="AC310" s="59">
        <v>9.708084981E9</v>
      </c>
    </row>
    <row r="311">
      <c r="B311" s="59" t="s">
        <v>1799</v>
      </c>
      <c r="C311" s="67"/>
      <c r="D311" s="64">
        <v>9.804852165E9</v>
      </c>
      <c r="E311" s="59" t="s">
        <v>1800</v>
      </c>
      <c r="F311" s="59" t="s">
        <v>1445</v>
      </c>
      <c r="G311" s="59" t="s">
        <v>103</v>
      </c>
      <c r="H311" s="59" t="s">
        <v>232</v>
      </c>
      <c r="I311" s="65"/>
      <c r="J311" s="65"/>
      <c r="K311" s="64" t="s">
        <v>1801</v>
      </c>
      <c r="L311" s="64" t="s">
        <v>746</v>
      </c>
      <c r="M311" s="64">
        <v>7189.0</v>
      </c>
      <c r="N311" s="65"/>
      <c r="O311" s="65"/>
      <c r="R311" s="56" t="s">
        <v>1808</v>
      </c>
      <c r="S311" s="80" t="s">
        <v>1809</v>
      </c>
      <c r="T311" s="59">
        <v>1.1906309E7</v>
      </c>
      <c r="U311" s="59">
        <v>2.1292213E7</v>
      </c>
      <c r="V311" s="60">
        <v>46026.0</v>
      </c>
      <c r="W311" s="58">
        <f t="shared" si="5"/>
        <v>46206</v>
      </c>
      <c r="X311" s="59" t="s">
        <v>50</v>
      </c>
      <c r="Y311" s="60" t="str">
        <f t="shared" si="2"/>
        <v>Active</v>
      </c>
      <c r="Z311" s="59">
        <f t="shared" si="3"/>
        <v>91</v>
      </c>
      <c r="AA311" s="59" t="s">
        <v>1810</v>
      </c>
      <c r="AB311" s="59" t="s">
        <v>1811</v>
      </c>
      <c r="AC311" s="67"/>
    </row>
    <row r="312">
      <c r="B312" s="59" t="s">
        <v>1799</v>
      </c>
      <c r="C312" s="67"/>
      <c r="D312" s="64">
        <v>9.804852165E9</v>
      </c>
      <c r="E312" s="59" t="s">
        <v>1812</v>
      </c>
      <c r="F312" s="59" t="s">
        <v>1445</v>
      </c>
      <c r="G312" s="59" t="s">
        <v>103</v>
      </c>
      <c r="H312" s="59" t="s">
        <v>232</v>
      </c>
      <c r="I312" s="65"/>
      <c r="J312" s="65"/>
      <c r="K312" s="64" t="s">
        <v>1801</v>
      </c>
      <c r="L312" s="64" t="s">
        <v>746</v>
      </c>
      <c r="M312" s="64">
        <v>5947.0</v>
      </c>
      <c r="N312" s="65"/>
      <c r="O312" s="65"/>
      <c r="S312" s="80" t="s">
        <v>1813</v>
      </c>
      <c r="T312" s="67"/>
      <c r="U312" s="67"/>
      <c r="V312" s="60">
        <v>46023.0</v>
      </c>
      <c r="W312" s="58">
        <f t="shared" si="5"/>
        <v>46203</v>
      </c>
      <c r="X312" s="59" t="s">
        <v>50</v>
      </c>
      <c r="Y312" s="60" t="str">
        <f t="shared" si="2"/>
        <v>Active</v>
      </c>
      <c r="Z312" s="59">
        <f t="shared" si="3"/>
        <v>88</v>
      </c>
      <c r="AA312" s="60">
        <v>46082.0</v>
      </c>
      <c r="AB312" s="59" t="s">
        <v>1814</v>
      </c>
      <c r="AC312" s="67"/>
    </row>
    <row r="313">
      <c r="B313" s="59" t="s">
        <v>1799</v>
      </c>
      <c r="C313" s="67"/>
      <c r="D313" s="64">
        <v>9.804852165E9</v>
      </c>
      <c r="E313" s="59" t="s">
        <v>1812</v>
      </c>
      <c r="F313" s="59" t="s">
        <v>1445</v>
      </c>
      <c r="G313" s="59" t="s">
        <v>103</v>
      </c>
      <c r="H313" s="59" t="s">
        <v>232</v>
      </c>
      <c r="I313" s="65"/>
      <c r="J313" s="65"/>
      <c r="K313" s="64" t="s">
        <v>1801</v>
      </c>
      <c r="L313" s="64" t="s">
        <v>746</v>
      </c>
      <c r="M313" s="64">
        <v>5946.0</v>
      </c>
      <c r="N313" s="65"/>
      <c r="O313" s="65"/>
      <c r="S313" s="80">
        <v>9.703124908E9</v>
      </c>
      <c r="T313" s="67"/>
      <c r="U313" s="60"/>
      <c r="V313" s="60">
        <v>46023.0</v>
      </c>
      <c r="W313" s="58">
        <f t="shared" si="5"/>
        <v>46203</v>
      </c>
      <c r="X313" s="59" t="s">
        <v>50</v>
      </c>
      <c r="Y313" s="60" t="str">
        <f t="shared" si="2"/>
        <v>Active</v>
      </c>
      <c r="Z313" s="59">
        <f t="shared" si="3"/>
        <v>88</v>
      </c>
      <c r="AA313" s="60">
        <v>46081.0</v>
      </c>
      <c r="AB313" s="59" t="s">
        <v>1815</v>
      </c>
      <c r="AC313" s="67"/>
    </row>
    <row r="314">
      <c r="B314" s="59" t="s">
        <v>1816</v>
      </c>
      <c r="C314" s="67"/>
      <c r="D314" s="64">
        <v>9.845212749E9</v>
      </c>
      <c r="E314" s="59" t="s">
        <v>1394</v>
      </c>
      <c r="F314" s="59" t="s">
        <v>1445</v>
      </c>
      <c r="G314" s="59" t="s">
        <v>103</v>
      </c>
      <c r="H314" s="59" t="s">
        <v>782</v>
      </c>
      <c r="I314" s="65"/>
      <c r="J314" s="65"/>
      <c r="K314" s="65"/>
      <c r="L314" s="65"/>
      <c r="M314" s="64">
        <v>9670.0</v>
      </c>
      <c r="N314" s="65"/>
      <c r="O314" s="65"/>
      <c r="R314" s="56"/>
      <c r="S314" s="56">
        <v>9.80417966E9</v>
      </c>
      <c r="T314" s="70"/>
      <c r="U314" s="70"/>
      <c r="V314" s="60">
        <v>46026.0</v>
      </c>
      <c r="W314" s="58">
        <f t="shared" si="5"/>
        <v>46206</v>
      </c>
      <c r="X314" s="59" t="s">
        <v>50</v>
      </c>
      <c r="Y314" s="60" t="str">
        <f t="shared" si="2"/>
        <v>Active</v>
      </c>
      <c r="Z314" s="59">
        <f t="shared" si="3"/>
        <v>91</v>
      </c>
      <c r="AA314" s="60">
        <v>46176.0</v>
      </c>
      <c r="AB314" s="59" t="s">
        <v>1817</v>
      </c>
      <c r="AC314" s="59" t="s">
        <v>1818</v>
      </c>
    </row>
    <row r="315">
      <c r="B315" s="59" t="s">
        <v>1816</v>
      </c>
      <c r="C315" s="67"/>
      <c r="D315" s="64">
        <v>9.845212749E9</v>
      </c>
      <c r="E315" s="59" t="s">
        <v>1394</v>
      </c>
      <c r="F315" s="59" t="s">
        <v>1445</v>
      </c>
      <c r="G315" s="59" t="s">
        <v>103</v>
      </c>
      <c r="H315" s="59" t="s">
        <v>782</v>
      </c>
      <c r="I315" s="65"/>
      <c r="J315" s="65"/>
      <c r="K315" s="65"/>
      <c r="L315" s="65"/>
      <c r="M315" s="64">
        <v>9669.0</v>
      </c>
      <c r="N315" s="65"/>
      <c r="O315" s="65"/>
      <c r="S315" s="80">
        <v>9.804186706E9</v>
      </c>
      <c r="T315" s="59"/>
      <c r="U315" s="67"/>
      <c r="V315" s="60">
        <v>46027.0</v>
      </c>
      <c r="W315" s="58">
        <f>IF(V314="","",IF(X314="1 Month", V314+30,
IF(X314="1 Ncell", V314+28,
IF(X314="2 Ncell", V314+56,
IF(X314="3 Ncell", V314+84,
IF(X314="6 ncell", V314+168,
IF(X314="2 Month", V314+60,
IF(X314="3 Month", V314+90,
IF(X314="6 Month", V314+180,
IF(X314="1 Year", V314+365,""))))))))))
</f>
        <v>46206</v>
      </c>
      <c r="X315" s="59" t="s">
        <v>50</v>
      </c>
      <c r="Y315" s="60" t="str">
        <f t="shared" si="2"/>
        <v>Active</v>
      </c>
      <c r="Z315" s="59">
        <f t="shared" si="3"/>
        <v>91</v>
      </c>
      <c r="AA315" s="60">
        <f>28+today()</f>
        <v>46143</v>
      </c>
      <c r="AB315" s="59" t="s">
        <v>1819</v>
      </c>
      <c r="AC315" s="59" t="s">
        <v>1820</v>
      </c>
    </row>
    <row r="316">
      <c r="B316" s="59" t="s">
        <v>1821</v>
      </c>
      <c r="C316" s="67"/>
      <c r="D316" s="64">
        <v>9.804803605E9</v>
      </c>
      <c r="E316" s="59" t="s">
        <v>1822</v>
      </c>
      <c r="F316" s="59" t="s">
        <v>1445</v>
      </c>
      <c r="G316" s="59" t="s">
        <v>103</v>
      </c>
      <c r="H316" s="59" t="s">
        <v>1823</v>
      </c>
      <c r="I316" s="65"/>
      <c r="J316" s="65"/>
      <c r="K316" s="65"/>
      <c r="L316" s="65"/>
      <c r="M316" s="64">
        <v>3368.0</v>
      </c>
      <c r="N316" s="65"/>
      <c r="O316" s="65"/>
      <c r="S316" s="80">
        <v>9.760830817E9</v>
      </c>
      <c r="T316" s="59">
        <v>2.6903301E7</v>
      </c>
      <c r="U316" s="67"/>
      <c r="V316" s="60">
        <v>46036.0</v>
      </c>
      <c r="W316" s="58">
        <f t="shared" ref="W316:W338" si="7">IF(V316="","",IF(X316="1 Month", V316+30,
IF(X316="1 Ncell", V316+28,
IF(X316="2 Ncell", V316+56,
IF(X316="3 Ncell", V316+84,
IF(X316="6 ncell", V316+168,
IF(X316="2 Month", V316+60,
IF(X316="3 Month", V316+90,
IF(X316="6 Month", V316+180,
IF(X316="1 Year", V316+365,""))))))))))
</f>
        <v>46216</v>
      </c>
      <c r="X316" s="59" t="s">
        <v>50</v>
      </c>
      <c r="Y316" s="60" t="str">
        <f t="shared" si="2"/>
        <v>Active</v>
      </c>
      <c r="Z316" s="59">
        <f t="shared" si="3"/>
        <v>101</v>
      </c>
      <c r="AA316" s="60">
        <v>46216.0</v>
      </c>
      <c r="AB316" s="59" t="s">
        <v>1824</v>
      </c>
      <c r="AC316" s="59" t="s">
        <v>1825</v>
      </c>
    </row>
    <row r="317">
      <c r="B317" s="59" t="s">
        <v>1821</v>
      </c>
      <c r="C317" s="67"/>
      <c r="D317" s="64">
        <v>9.804803605E9</v>
      </c>
      <c r="E317" s="59" t="s">
        <v>1822</v>
      </c>
      <c r="F317" s="59" t="s">
        <v>1445</v>
      </c>
      <c r="G317" s="59" t="s">
        <v>103</v>
      </c>
      <c r="H317" s="59" t="s">
        <v>1823</v>
      </c>
      <c r="I317" s="65"/>
      <c r="J317" s="65"/>
      <c r="K317" s="65"/>
      <c r="L317" s="65"/>
      <c r="M317" s="64">
        <v>3369.0</v>
      </c>
      <c r="N317" s="65"/>
      <c r="O317" s="65"/>
      <c r="R317" s="56" t="s">
        <v>1826</v>
      </c>
      <c r="S317" s="76">
        <v>9.760844748E9</v>
      </c>
      <c r="T317" s="59">
        <v>1.6777132E7</v>
      </c>
      <c r="U317" s="59">
        <v>2.338422E7</v>
      </c>
      <c r="V317" s="60">
        <v>46035.0</v>
      </c>
      <c r="W317" s="58">
        <f t="shared" si="7"/>
        <v>46215</v>
      </c>
      <c r="X317" s="59" t="s">
        <v>50</v>
      </c>
      <c r="Y317" s="60" t="str">
        <f t="shared" si="2"/>
        <v>Active</v>
      </c>
      <c r="Z317" s="59">
        <f t="shared" si="3"/>
        <v>100</v>
      </c>
      <c r="AA317" s="60">
        <v>46215.0</v>
      </c>
      <c r="AB317" s="59" t="s">
        <v>1827</v>
      </c>
      <c r="AC317" s="59" t="s">
        <v>1828</v>
      </c>
    </row>
    <row r="318">
      <c r="B318" s="67"/>
      <c r="C318" s="67"/>
      <c r="D318" s="64"/>
      <c r="E318" s="59" t="s">
        <v>1829</v>
      </c>
      <c r="F318" s="59" t="s">
        <v>1445</v>
      </c>
      <c r="G318" s="59" t="s">
        <v>103</v>
      </c>
      <c r="H318" s="59" t="s">
        <v>660</v>
      </c>
      <c r="I318" s="65"/>
      <c r="J318" s="65"/>
      <c r="K318" s="64" t="s">
        <v>1830</v>
      </c>
      <c r="L318" s="64" t="s">
        <v>1831</v>
      </c>
      <c r="M318" s="64">
        <v>4768.0</v>
      </c>
      <c r="N318" s="64" t="s">
        <v>1832</v>
      </c>
      <c r="O318" s="64" t="s">
        <v>1833</v>
      </c>
      <c r="R318" s="56" t="s">
        <v>1834</v>
      </c>
      <c r="S318" s="76">
        <v>9.760844666E9</v>
      </c>
      <c r="T318" s="59">
        <v>2.9649203E7</v>
      </c>
      <c r="U318" s="59">
        <v>7.4601111E7</v>
      </c>
      <c r="V318" s="60">
        <v>46035.0</v>
      </c>
      <c r="W318" s="58">
        <f t="shared" si="7"/>
        <v>46215</v>
      </c>
      <c r="X318" s="59" t="s">
        <v>50</v>
      </c>
      <c r="Y318" s="60" t="str">
        <f t="shared" si="2"/>
        <v>Active</v>
      </c>
      <c r="Z318" s="59">
        <f t="shared" si="3"/>
        <v>100</v>
      </c>
      <c r="AA318" s="60">
        <v>46215.0</v>
      </c>
      <c r="AB318" s="59" t="s">
        <v>1835</v>
      </c>
      <c r="AC318" s="59">
        <v>9.803945115E9</v>
      </c>
    </row>
    <row r="319">
      <c r="B319" s="67"/>
      <c r="C319" s="67"/>
      <c r="D319" s="64"/>
      <c r="E319" s="59" t="s">
        <v>1829</v>
      </c>
      <c r="F319" s="59" t="s">
        <v>1445</v>
      </c>
      <c r="G319" s="59" t="s">
        <v>103</v>
      </c>
      <c r="H319" s="59" t="s">
        <v>660</v>
      </c>
      <c r="I319" s="65"/>
      <c r="J319" s="65"/>
      <c r="K319" s="64" t="s">
        <v>1830</v>
      </c>
      <c r="L319" s="64" t="s">
        <v>1831</v>
      </c>
      <c r="M319" s="64">
        <v>4766.0</v>
      </c>
      <c r="N319" s="65"/>
      <c r="O319" s="65"/>
      <c r="R319" s="56" t="s">
        <v>1836</v>
      </c>
      <c r="S319" s="80">
        <v>9.760843944E9</v>
      </c>
      <c r="V319" s="60">
        <v>46048.0</v>
      </c>
      <c r="W319" s="58">
        <f t="shared" si="7"/>
        <v>46228</v>
      </c>
      <c r="X319" s="59" t="s">
        <v>50</v>
      </c>
      <c r="Y319" s="60" t="str">
        <f t="shared" si="2"/>
        <v>Active</v>
      </c>
      <c r="Z319" s="59">
        <f t="shared" si="3"/>
        <v>113</v>
      </c>
      <c r="AA319" s="67"/>
      <c r="AB319" s="59" t="s">
        <v>1837</v>
      </c>
      <c r="AC319" s="59" t="s">
        <v>1838</v>
      </c>
    </row>
    <row r="320">
      <c r="B320" s="59" t="s">
        <v>1839</v>
      </c>
      <c r="C320" s="67"/>
      <c r="D320" s="64">
        <v>9.855023529E9</v>
      </c>
      <c r="E320" s="59" t="s">
        <v>1840</v>
      </c>
      <c r="F320" s="59" t="s">
        <v>1841</v>
      </c>
      <c r="G320" s="59" t="s">
        <v>103</v>
      </c>
      <c r="H320" s="59" t="s">
        <v>1842</v>
      </c>
      <c r="I320" s="65"/>
      <c r="J320" s="65"/>
      <c r="K320" s="64" t="s">
        <v>1843</v>
      </c>
      <c r="L320" s="64" t="s">
        <v>1844</v>
      </c>
      <c r="M320" s="64">
        <v>4193.0</v>
      </c>
      <c r="N320" s="65"/>
      <c r="O320" s="65"/>
      <c r="R320" s="56" t="s">
        <v>1845</v>
      </c>
      <c r="S320" s="76">
        <v>9.760843575E9</v>
      </c>
      <c r="T320" s="59">
        <v>1.9379929E7</v>
      </c>
      <c r="U320" s="59">
        <v>2.5986174E7</v>
      </c>
      <c r="V320" s="60">
        <v>46056.0</v>
      </c>
      <c r="W320" s="58">
        <f t="shared" si="7"/>
        <v>46236</v>
      </c>
      <c r="X320" s="59" t="s">
        <v>50</v>
      </c>
      <c r="Y320" s="60" t="str">
        <f t="shared" si="2"/>
        <v>Active</v>
      </c>
      <c r="Z320" s="59">
        <f t="shared" si="3"/>
        <v>121</v>
      </c>
      <c r="AA320" s="60">
        <v>46291.0</v>
      </c>
      <c r="AB320" s="59" t="s">
        <v>1846</v>
      </c>
      <c r="AC320" s="67"/>
    </row>
    <row r="321">
      <c r="B321" s="59" t="s">
        <v>1839</v>
      </c>
      <c r="C321" s="67"/>
      <c r="D321" s="64">
        <v>9.855023529E9</v>
      </c>
      <c r="E321" s="59" t="s">
        <v>1840</v>
      </c>
      <c r="F321" s="59" t="s">
        <v>1841</v>
      </c>
      <c r="G321" s="59" t="s">
        <v>103</v>
      </c>
      <c r="H321" s="59" t="s">
        <v>1842</v>
      </c>
      <c r="I321" s="65"/>
      <c r="J321" s="65"/>
      <c r="K321" s="64" t="s">
        <v>1843</v>
      </c>
      <c r="L321" s="64" t="s">
        <v>1844</v>
      </c>
      <c r="M321" s="64">
        <v>4191.0</v>
      </c>
      <c r="N321" s="65"/>
      <c r="O321" s="65"/>
      <c r="R321" s="56" t="s">
        <v>1847</v>
      </c>
      <c r="S321" s="76">
        <v>9.760843948E9</v>
      </c>
      <c r="T321" s="59"/>
      <c r="U321" s="59"/>
      <c r="V321" s="60">
        <v>46056.0</v>
      </c>
      <c r="W321" s="58">
        <f t="shared" si="7"/>
        <v>46236</v>
      </c>
      <c r="X321" s="59" t="s">
        <v>50</v>
      </c>
      <c r="Y321" s="60" t="str">
        <f t="shared" si="2"/>
        <v>Active</v>
      </c>
      <c r="Z321" s="59">
        <f t="shared" si="3"/>
        <v>121</v>
      </c>
      <c r="AA321" s="67"/>
      <c r="AB321" s="59" t="s">
        <v>1848</v>
      </c>
      <c r="AC321" s="67"/>
    </row>
    <row r="322">
      <c r="B322" s="59" t="s">
        <v>1839</v>
      </c>
      <c r="C322" s="67"/>
      <c r="D322" s="64">
        <v>9.855023529E9</v>
      </c>
      <c r="E322" s="59" t="s">
        <v>1840</v>
      </c>
      <c r="F322" s="59" t="s">
        <v>1841</v>
      </c>
      <c r="G322" s="59" t="s">
        <v>103</v>
      </c>
      <c r="H322" s="59" t="s">
        <v>1842</v>
      </c>
      <c r="I322" s="65"/>
      <c r="J322" s="65"/>
      <c r="K322" s="64" t="s">
        <v>1843</v>
      </c>
      <c r="L322" s="64" t="s">
        <v>1844</v>
      </c>
      <c r="M322" s="64">
        <v>3258.0</v>
      </c>
      <c r="N322" s="64" t="s">
        <v>1849</v>
      </c>
      <c r="O322" s="64" t="s">
        <v>1850</v>
      </c>
      <c r="R322" s="56" t="s">
        <v>1851</v>
      </c>
      <c r="S322" s="80">
        <v>9.760830819E9</v>
      </c>
      <c r="T322" s="59">
        <v>5.4918594E7</v>
      </c>
      <c r="U322" s="59">
        <v>9.5184834E7</v>
      </c>
      <c r="V322" s="60">
        <v>46091.0</v>
      </c>
      <c r="W322" s="58">
        <f t="shared" si="7"/>
        <v>46271</v>
      </c>
      <c r="X322" s="59" t="s">
        <v>50</v>
      </c>
      <c r="Y322" s="60" t="str">
        <f t="shared" si="2"/>
        <v>Active</v>
      </c>
      <c r="Z322" s="59">
        <f t="shared" si="3"/>
        <v>156</v>
      </c>
      <c r="AA322" s="60">
        <v>46240.0</v>
      </c>
      <c r="AB322" s="59" t="s">
        <v>1852</v>
      </c>
      <c r="AC322" s="59" t="s">
        <v>1853</v>
      </c>
    </row>
    <row r="323">
      <c r="B323" s="59" t="s">
        <v>1839</v>
      </c>
      <c r="C323" s="67"/>
      <c r="D323" s="64">
        <v>9.855023529E9</v>
      </c>
      <c r="E323" s="59" t="s">
        <v>1840</v>
      </c>
      <c r="F323" s="59" t="s">
        <v>1841</v>
      </c>
      <c r="G323" s="59" t="s">
        <v>103</v>
      </c>
      <c r="H323" s="59" t="s">
        <v>1842</v>
      </c>
      <c r="I323" s="65"/>
      <c r="J323" s="65"/>
      <c r="K323" s="64" t="s">
        <v>1843</v>
      </c>
      <c r="L323" s="64" t="s">
        <v>1844</v>
      </c>
      <c r="M323" s="64">
        <v>3257.0</v>
      </c>
      <c r="N323" s="64" t="s">
        <v>1854</v>
      </c>
      <c r="O323" s="64" t="s">
        <v>1855</v>
      </c>
      <c r="R323" s="56" t="s">
        <v>1856</v>
      </c>
      <c r="S323" s="56">
        <v>9.760825435E9</v>
      </c>
      <c r="T323" s="59">
        <v>2.4718472E7</v>
      </c>
      <c r="U323" s="59">
        <v>1.8540309E7</v>
      </c>
      <c r="V323" s="60">
        <v>46101.0</v>
      </c>
      <c r="W323" s="58">
        <f t="shared" si="7"/>
        <v>46281</v>
      </c>
      <c r="X323" s="59" t="s">
        <v>50</v>
      </c>
      <c r="Y323" s="60" t="str">
        <f t="shared" si="2"/>
        <v>Active</v>
      </c>
      <c r="Z323" s="59">
        <f t="shared" si="3"/>
        <v>166</v>
      </c>
      <c r="AA323" s="67"/>
      <c r="AB323" s="59" t="s">
        <v>1857</v>
      </c>
      <c r="AC323" s="59" t="s">
        <v>1858</v>
      </c>
    </row>
    <row r="324">
      <c r="B324" s="59" t="s">
        <v>1859</v>
      </c>
      <c r="C324" s="67"/>
      <c r="D324" s="64">
        <v>9.843903428E9</v>
      </c>
      <c r="E324" s="59" t="s">
        <v>1860</v>
      </c>
      <c r="F324" s="59" t="s">
        <v>1445</v>
      </c>
      <c r="G324" s="59" t="s">
        <v>103</v>
      </c>
      <c r="H324" s="59" t="s">
        <v>232</v>
      </c>
      <c r="I324" s="65"/>
      <c r="J324" s="65"/>
      <c r="K324" s="64" t="s">
        <v>1861</v>
      </c>
      <c r="L324" s="64" t="s">
        <v>1862</v>
      </c>
      <c r="M324" s="64">
        <v>5216.0</v>
      </c>
      <c r="N324" s="64" t="s">
        <v>1863</v>
      </c>
      <c r="O324" s="64" t="s">
        <v>1864</v>
      </c>
      <c r="R324" s="56" t="s">
        <v>1865</v>
      </c>
      <c r="S324" s="78"/>
      <c r="T324" s="59">
        <v>6.7413112E7</v>
      </c>
      <c r="U324" s="59">
        <v>2.7653165E7</v>
      </c>
      <c r="V324" s="67"/>
      <c r="W324" s="71" t="str">
        <f t="shared" si="7"/>
        <v/>
      </c>
      <c r="X324" s="59"/>
      <c r="Y324" s="60" t="str">
        <f t="shared" si="2"/>
        <v>Expired</v>
      </c>
      <c r="Z324" s="59">
        <f t="shared" si="3"/>
        <v>0</v>
      </c>
      <c r="AA324" s="67"/>
      <c r="AB324" s="59" t="s">
        <v>1866</v>
      </c>
      <c r="AC324" s="59">
        <v>9.812071952E9</v>
      </c>
    </row>
    <row r="325">
      <c r="B325" s="59" t="s">
        <v>1867</v>
      </c>
      <c r="C325" s="67"/>
      <c r="D325" s="64">
        <v>9.8073248E9</v>
      </c>
      <c r="E325" s="59" t="s">
        <v>1868</v>
      </c>
      <c r="F325" s="59" t="s">
        <v>1445</v>
      </c>
      <c r="G325" s="59" t="s">
        <v>103</v>
      </c>
      <c r="H325" s="59" t="s">
        <v>438</v>
      </c>
      <c r="I325" s="65"/>
      <c r="J325" s="65"/>
      <c r="K325" s="64" t="s">
        <v>1869</v>
      </c>
      <c r="L325" s="64" t="s">
        <v>1870</v>
      </c>
      <c r="M325" s="64">
        <v>1272.0</v>
      </c>
      <c r="N325" s="64" t="s">
        <v>1871</v>
      </c>
      <c r="O325" s="64" t="s">
        <v>1872</v>
      </c>
      <c r="R325" s="56" t="s">
        <v>1873</v>
      </c>
      <c r="S325" s="76">
        <v>9.760844709E9</v>
      </c>
      <c r="T325" s="59">
        <v>2.9503202E7</v>
      </c>
      <c r="U325" s="59">
        <v>3.2081565E7</v>
      </c>
      <c r="V325" s="60">
        <v>46065.0</v>
      </c>
      <c r="W325" s="58">
        <f t="shared" si="7"/>
        <v>46245</v>
      </c>
      <c r="X325" s="59" t="s">
        <v>50</v>
      </c>
      <c r="Y325" s="60" t="str">
        <f t="shared" si="2"/>
        <v>Active</v>
      </c>
      <c r="Z325" s="59">
        <f t="shared" si="3"/>
        <v>130</v>
      </c>
      <c r="AA325" s="60">
        <v>46245.0</v>
      </c>
      <c r="AB325" s="59" t="s">
        <v>1874</v>
      </c>
      <c r="AC325" s="59" t="s">
        <v>1870</v>
      </c>
    </row>
    <row r="326">
      <c r="B326" s="59" t="s">
        <v>1867</v>
      </c>
      <c r="C326" s="67"/>
      <c r="D326" s="64">
        <v>9.8073248E9</v>
      </c>
      <c r="E326" s="59" t="s">
        <v>1868</v>
      </c>
      <c r="F326" s="59" t="s">
        <v>1445</v>
      </c>
      <c r="G326" s="59" t="s">
        <v>103</v>
      </c>
      <c r="H326" s="59" t="s">
        <v>438</v>
      </c>
      <c r="I326" s="65"/>
      <c r="J326" s="65"/>
      <c r="K326" s="64" t="s">
        <v>1869</v>
      </c>
      <c r="L326" s="64" t="s">
        <v>1870</v>
      </c>
      <c r="M326" s="64">
        <v>1273.0</v>
      </c>
      <c r="N326" s="64" t="s">
        <v>1875</v>
      </c>
      <c r="O326" s="64"/>
      <c r="S326" s="73">
        <v>9.760826022E9</v>
      </c>
      <c r="T326" s="59">
        <v>1.8173215E7</v>
      </c>
      <c r="U326" s="59"/>
      <c r="V326" s="60">
        <v>46066.0</v>
      </c>
      <c r="W326" s="58">
        <f t="shared" si="7"/>
        <v>46246</v>
      </c>
      <c r="X326" s="59" t="s">
        <v>50</v>
      </c>
      <c r="Y326" s="60" t="str">
        <f t="shared" si="2"/>
        <v>Active</v>
      </c>
      <c r="Z326" s="59">
        <f t="shared" si="3"/>
        <v>131</v>
      </c>
      <c r="AA326" s="60">
        <v>46289.0</v>
      </c>
      <c r="AB326" s="59" t="s">
        <v>1876</v>
      </c>
      <c r="AC326" s="59" t="s">
        <v>1870</v>
      </c>
    </row>
    <row r="327">
      <c r="B327" s="59" t="s">
        <v>1877</v>
      </c>
      <c r="C327" s="67"/>
      <c r="D327" s="64">
        <v>9.865997098E9</v>
      </c>
      <c r="E327" s="59" t="s">
        <v>1878</v>
      </c>
      <c r="F327" s="59" t="s">
        <v>42</v>
      </c>
      <c r="G327" s="59" t="s">
        <v>103</v>
      </c>
      <c r="H327" s="59" t="s">
        <v>1204</v>
      </c>
      <c r="I327" s="65"/>
      <c r="J327" s="65"/>
      <c r="K327" s="65"/>
      <c r="L327" s="65"/>
      <c r="M327" s="64">
        <v>9948.0</v>
      </c>
      <c r="N327" s="64" t="s">
        <v>1879</v>
      </c>
      <c r="O327" s="64" t="s">
        <v>1880</v>
      </c>
      <c r="S327" s="80">
        <v>9.813679306E9</v>
      </c>
      <c r="T327" s="67"/>
      <c r="U327" s="67"/>
      <c r="V327" s="60">
        <v>46095.0</v>
      </c>
      <c r="W327" s="58">
        <f t="shared" si="7"/>
        <v>46123</v>
      </c>
      <c r="X327" s="59" t="s">
        <v>98</v>
      </c>
      <c r="Y327" s="60" t="str">
        <f t="shared" si="2"/>
        <v>Active</v>
      </c>
      <c r="Z327" s="59">
        <f t="shared" si="3"/>
        <v>8</v>
      </c>
      <c r="AA327" s="60">
        <v>46067.0</v>
      </c>
      <c r="AB327" s="59" t="s">
        <v>1881</v>
      </c>
      <c r="AC327" s="59">
        <v>9.860387737E9</v>
      </c>
    </row>
    <row r="328">
      <c r="B328" s="59" t="s">
        <v>975</v>
      </c>
      <c r="C328" s="67"/>
      <c r="D328" s="64">
        <v>9.81043526E8</v>
      </c>
      <c r="E328" s="59" t="s">
        <v>447</v>
      </c>
      <c r="F328" s="59" t="s">
        <v>1882</v>
      </c>
      <c r="G328" s="59" t="s">
        <v>103</v>
      </c>
      <c r="H328" s="59" t="s">
        <v>470</v>
      </c>
      <c r="I328" s="65"/>
      <c r="J328" s="65"/>
      <c r="K328" s="64">
        <v>9.810435261E9</v>
      </c>
      <c r="L328" s="64" t="s">
        <v>1145</v>
      </c>
      <c r="M328" s="64">
        <v>975.0</v>
      </c>
      <c r="N328" s="65"/>
      <c r="O328" s="65"/>
      <c r="R328" s="56" t="s">
        <v>1883</v>
      </c>
      <c r="S328" s="56" t="s">
        <v>1884</v>
      </c>
      <c r="T328" s="70">
        <v>1.409017E7</v>
      </c>
      <c r="U328" s="70">
        <v>1.7703248E7</v>
      </c>
      <c r="V328" s="60">
        <v>46076.0</v>
      </c>
      <c r="W328" s="58">
        <f t="shared" si="7"/>
        <v>46256</v>
      </c>
      <c r="X328" s="59" t="s">
        <v>50</v>
      </c>
      <c r="Y328" s="60" t="str">
        <f t="shared" si="2"/>
        <v>Active</v>
      </c>
      <c r="Z328" s="59">
        <f t="shared" si="3"/>
        <v>141</v>
      </c>
      <c r="AA328" s="60">
        <f t="shared" ref="AA328:AA329" si="8">28+today()</f>
        <v>46143</v>
      </c>
      <c r="AB328" s="59" t="s">
        <v>1885</v>
      </c>
      <c r="AC328" s="59" t="s">
        <v>1886</v>
      </c>
    </row>
    <row r="329">
      <c r="B329" s="59" t="s">
        <v>975</v>
      </c>
      <c r="C329" s="67"/>
      <c r="D329" s="64">
        <v>9.81043526E8</v>
      </c>
      <c r="E329" s="59" t="s">
        <v>447</v>
      </c>
      <c r="F329" s="59" t="s">
        <v>1882</v>
      </c>
      <c r="G329" s="59" t="s">
        <v>103</v>
      </c>
      <c r="H329" s="59" t="s">
        <v>470</v>
      </c>
      <c r="I329" s="65"/>
      <c r="J329" s="65"/>
      <c r="K329" s="64">
        <v>9.810435261E9</v>
      </c>
      <c r="L329" s="64" t="s">
        <v>1145</v>
      </c>
      <c r="M329" s="64">
        <v>976.0</v>
      </c>
      <c r="N329" s="65"/>
      <c r="O329" s="65"/>
      <c r="R329" s="56" t="s">
        <v>1887</v>
      </c>
      <c r="S329" s="56" t="s">
        <v>1888</v>
      </c>
      <c r="T329" s="70">
        <v>1.6042182E7</v>
      </c>
      <c r="U329" s="70">
        <v>2.2019319E7</v>
      </c>
      <c r="V329" s="60">
        <v>46076.0</v>
      </c>
      <c r="W329" s="58">
        <f t="shared" si="7"/>
        <v>46256</v>
      </c>
      <c r="X329" s="59" t="s">
        <v>50</v>
      </c>
      <c r="Y329" s="60" t="str">
        <f t="shared" si="2"/>
        <v>Active</v>
      </c>
      <c r="Z329" s="59">
        <f t="shared" si="3"/>
        <v>141</v>
      </c>
      <c r="AA329" s="60">
        <f t="shared" si="8"/>
        <v>46143</v>
      </c>
      <c r="AB329" s="59" t="s">
        <v>1889</v>
      </c>
      <c r="AC329" s="59" t="s">
        <v>1890</v>
      </c>
    </row>
    <row r="330">
      <c r="B330" s="59" t="s">
        <v>1891</v>
      </c>
      <c r="C330" s="67"/>
      <c r="D330" s="64">
        <v>9.58030766E8</v>
      </c>
      <c r="E330" s="59" t="s">
        <v>1892</v>
      </c>
      <c r="F330" s="59" t="s">
        <v>1296</v>
      </c>
      <c r="G330" s="59" t="s">
        <v>103</v>
      </c>
      <c r="H330" s="59" t="s">
        <v>70</v>
      </c>
      <c r="I330" s="65"/>
      <c r="J330" s="65"/>
      <c r="K330" s="64" t="s">
        <v>1893</v>
      </c>
      <c r="L330" s="64" t="s">
        <v>133</v>
      </c>
      <c r="M330" s="64">
        <v>4588.0</v>
      </c>
      <c r="N330" s="64" t="s">
        <v>1894</v>
      </c>
      <c r="O330" s="64" t="s">
        <v>1895</v>
      </c>
      <c r="R330" s="56" t="s">
        <v>1896</v>
      </c>
      <c r="S330" s="80" t="s">
        <v>1897</v>
      </c>
      <c r="T330" s="70">
        <v>1.5867234E7</v>
      </c>
      <c r="U330" s="70">
        <v>1.8525272E7</v>
      </c>
      <c r="V330" s="60">
        <v>46076.0</v>
      </c>
      <c r="W330" s="58">
        <f t="shared" si="7"/>
        <v>46106</v>
      </c>
      <c r="X330" s="59" t="s">
        <v>215</v>
      </c>
      <c r="Y330" s="60" t="str">
        <f t="shared" si="2"/>
        <v>Expired</v>
      </c>
      <c r="Z330" s="59">
        <f t="shared" si="3"/>
        <v>0</v>
      </c>
      <c r="AA330" s="59" t="s">
        <v>1898</v>
      </c>
      <c r="AB330" s="59" t="s">
        <v>1899</v>
      </c>
      <c r="AC330" s="59">
        <v>9.858030766E9</v>
      </c>
    </row>
    <row r="331">
      <c r="B331" s="59" t="s">
        <v>1900</v>
      </c>
      <c r="C331" s="67"/>
      <c r="D331" s="64">
        <v>9.801376065E9</v>
      </c>
      <c r="E331" s="59" t="s">
        <v>1892</v>
      </c>
      <c r="F331" s="59" t="s">
        <v>1445</v>
      </c>
      <c r="G331" s="59" t="s">
        <v>103</v>
      </c>
      <c r="H331" s="59" t="s">
        <v>70</v>
      </c>
      <c r="I331" s="65"/>
      <c r="J331" s="65"/>
      <c r="K331" s="64">
        <v>9.801376065E9</v>
      </c>
      <c r="L331" s="64" t="s">
        <v>146</v>
      </c>
      <c r="M331" s="64">
        <v>4587.0</v>
      </c>
      <c r="N331" s="64"/>
      <c r="O331" s="64"/>
      <c r="R331" s="56" t="s">
        <v>1901</v>
      </c>
      <c r="S331" s="80">
        <v>9.76083774E9</v>
      </c>
      <c r="T331" s="59">
        <v>3.1164306E7</v>
      </c>
      <c r="U331" s="59"/>
      <c r="V331" s="60">
        <v>46082.0</v>
      </c>
      <c r="W331" s="58">
        <f t="shared" si="7"/>
        <v>46262</v>
      </c>
      <c r="X331" s="59" t="s">
        <v>50</v>
      </c>
      <c r="Y331" s="60" t="str">
        <f t="shared" si="2"/>
        <v>Active</v>
      </c>
      <c r="Z331" s="59">
        <f t="shared" si="3"/>
        <v>147</v>
      </c>
      <c r="AA331" s="60">
        <v>46114.0</v>
      </c>
      <c r="AB331" s="59" t="s">
        <v>1902</v>
      </c>
      <c r="AC331" s="59" t="s">
        <v>1903</v>
      </c>
    </row>
    <row r="332">
      <c r="B332" s="59" t="s">
        <v>1904</v>
      </c>
      <c r="C332" s="67"/>
      <c r="D332" s="64">
        <v>9.841548308E9</v>
      </c>
      <c r="E332" s="59" t="s">
        <v>1905</v>
      </c>
      <c r="F332" s="59" t="s">
        <v>42</v>
      </c>
      <c r="G332" s="59" t="s">
        <v>103</v>
      </c>
      <c r="H332" s="59" t="s">
        <v>510</v>
      </c>
      <c r="I332" s="65"/>
      <c r="J332" s="65"/>
      <c r="K332" s="64" t="s">
        <v>1906</v>
      </c>
      <c r="L332" s="64" t="s">
        <v>1907</v>
      </c>
      <c r="M332" s="64">
        <v>5208.0</v>
      </c>
      <c r="N332" s="64" t="s">
        <v>1908</v>
      </c>
      <c r="O332" s="64" t="s">
        <v>1909</v>
      </c>
      <c r="R332" s="56" t="s">
        <v>1910</v>
      </c>
      <c r="S332" s="80">
        <v>9.760843128E9</v>
      </c>
      <c r="T332" s="59">
        <v>5.9663051E7</v>
      </c>
      <c r="U332" s="59">
        <v>1.0622853E7</v>
      </c>
      <c r="V332" s="60">
        <v>46100.0</v>
      </c>
      <c r="W332" s="58">
        <f t="shared" si="7"/>
        <v>46280</v>
      </c>
      <c r="X332" s="59" t="s">
        <v>50</v>
      </c>
      <c r="Y332" s="60" t="str">
        <f t="shared" si="2"/>
        <v>Active</v>
      </c>
      <c r="Z332" s="59">
        <f t="shared" si="3"/>
        <v>165</v>
      </c>
      <c r="AA332" s="60">
        <v>46132.0</v>
      </c>
      <c r="AB332" s="59" t="s">
        <v>1911</v>
      </c>
      <c r="AC332" s="59" t="s">
        <v>1912</v>
      </c>
    </row>
    <row r="333">
      <c r="B333" s="67"/>
      <c r="C333" s="67"/>
      <c r="D333" s="64"/>
      <c r="E333" s="59" t="s">
        <v>1913</v>
      </c>
      <c r="F333" s="59" t="s">
        <v>42</v>
      </c>
      <c r="G333" s="59" t="s">
        <v>103</v>
      </c>
      <c r="H333" s="59" t="s">
        <v>232</v>
      </c>
      <c r="I333" s="65"/>
      <c r="J333" s="65"/>
      <c r="K333" s="65"/>
      <c r="L333" s="65"/>
      <c r="M333" s="65"/>
      <c r="N333" s="65"/>
      <c r="O333" s="65"/>
      <c r="S333" s="81"/>
      <c r="T333" s="67"/>
      <c r="U333" s="67"/>
      <c r="V333" s="60"/>
      <c r="W333" s="71" t="str">
        <f t="shared" si="7"/>
        <v/>
      </c>
      <c r="X333" s="59"/>
      <c r="Y333" s="60" t="str">
        <f t="shared" si="2"/>
        <v>Expired</v>
      </c>
      <c r="Z333" s="59">
        <f t="shared" si="3"/>
        <v>0</v>
      </c>
      <c r="AA333" s="67"/>
      <c r="AB333" s="67"/>
      <c r="AC333" s="67"/>
    </row>
    <row r="334">
      <c r="B334" s="59" t="s">
        <v>1914</v>
      </c>
      <c r="C334" s="67"/>
      <c r="D334" s="64">
        <v>9.70389866E9</v>
      </c>
      <c r="E334" s="59" t="s">
        <v>1915</v>
      </c>
      <c r="F334" s="59" t="s">
        <v>42</v>
      </c>
      <c r="G334" s="59" t="s">
        <v>1916</v>
      </c>
      <c r="H334" s="67"/>
      <c r="I334" s="65"/>
      <c r="J334" s="65"/>
      <c r="K334" s="65"/>
      <c r="L334" s="65"/>
      <c r="M334" s="65"/>
      <c r="N334" s="65"/>
      <c r="O334" s="65"/>
      <c r="S334" s="80">
        <v>9.712029942E9</v>
      </c>
      <c r="T334" s="67"/>
      <c r="U334" s="67"/>
      <c r="V334" s="60">
        <v>46111.0</v>
      </c>
      <c r="W334" s="58">
        <f t="shared" si="7"/>
        <v>46139</v>
      </c>
      <c r="X334" s="59" t="s">
        <v>98</v>
      </c>
      <c r="Y334" s="60" t="str">
        <f t="shared" si="2"/>
        <v>Active</v>
      </c>
      <c r="Z334" s="59">
        <f t="shared" si="3"/>
        <v>24</v>
      </c>
      <c r="AA334" s="67"/>
      <c r="AB334" s="67"/>
      <c r="AC334" s="67"/>
    </row>
    <row r="335">
      <c r="B335" s="59" t="s">
        <v>1917</v>
      </c>
      <c r="C335" s="67"/>
      <c r="D335" s="64">
        <v>9.823855303E9</v>
      </c>
      <c r="E335" s="59" t="s">
        <v>1918</v>
      </c>
      <c r="F335" s="59" t="s">
        <v>1445</v>
      </c>
      <c r="G335" s="59" t="s">
        <v>103</v>
      </c>
      <c r="H335" s="59" t="s">
        <v>232</v>
      </c>
      <c r="I335" s="65"/>
      <c r="J335" s="65"/>
      <c r="K335" s="65"/>
      <c r="L335" s="65"/>
      <c r="M335" s="64">
        <v>9551.0</v>
      </c>
      <c r="N335" s="65"/>
      <c r="O335" s="65"/>
      <c r="Q335" s="56" t="s">
        <v>48</v>
      </c>
      <c r="R335" s="56" t="s">
        <v>1919</v>
      </c>
      <c r="S335" s="81"/>
      <c r="T335" s="67"/>
      <c r="U335" s="67"/>
      <c r="V335" s="67"/>
      <c r="W335" s="71" t="str">
        <f t="shared" si="7"/>
        <v/>
      </c>
      <c r="X335" s="59"/>
      <c r="Y335" s="60" t="str">
        <f t="shared" si="2"/>
        <v>Expired</v>
      </c>
      <c r="Z335" s="59">
        <f t="shared" si="3"/>
        <v>0</v>
      </c>
      <c r="AA335" s="67"/>
      <c r="AB335" s="59" t="s">
        <v>1920</v>
      </c>
      <c r="AC335" s="59" t="s">
        <v>1921</v>
      </c>
    </row>
    <row r="336">
      <c r="D336" s="69"/>
      <c r="I336" s="61"/>
      <c r="J336" s="61"/>
      <c r="K336" s="61"/>
      <c r="L336" s="61"/>
      <c r="S336" s="81"/>
      <c r="T336" s="67"/>
      <c r="U336" s="67"/>
      <c r="V336" s="67"/>
      <c r="W336" s="71" t="str">
        <f t="shared" si="7"/>
        <v/>
      </c>
      <c r="X336" s="59"/>
      <c r="Y336" s="60" t="str">
        <f t="shared" si="2"/>
        <v>Expired</v>
      </c>
      <c r="Z336" s="59">
        <f t="shared" si="3"/>
        <v>0</v>
      </c>
      <c r="AA336" s="67"/>
      <c r="AB336" s="67"/>
      <c r="AC336" s="67"/>
    </row>
    <row r="337">
      <c r="D337" s="69"/>
      <c r="I337" s="61"/>
      <c r="J337" s="61"/>
      <c r="K337" s="61"/>
      <c r="L337" s="61"/>
      <c r="S337" s="81"/>
      <c r="T337" s="67"/>
      <c r="U337" s="67"/>
      <c r="V337" s="67"/>
      <c r="W337" s="71" t="str">
        <f t="shared" si="7"/>
        <v/>
      </c>
      <c r="X337" s="59"/>
      <c r="Y337" s="60" t="str">
        <f t="shared" si="2"/>
        <v>Expired</v>
      </c>
      <c r="Z337" s="59">
        <f t="shared" si="3"/>
        <v>0</v>
      </c>
      <c r="AA337" s="67"/>
      <c r="AB337" s="67"/>
      <c r="AC337" s="67"/>
    </row>
    <row r="338">
      <c r="D338" s="69"/>
      <c r="I338" s="61"/>
      <c r="J338" s="61"/>
      <c r="K338" s="61"/>
      <c r="L338" s="61"/>
      <c r="S338" s="81"/>
      <c r="T338" s="67"/>
      <c r="U338" s="67"/>
      <c r="V338" s="67"/>
      <c r="W338" s="71" t="str">
        <f t="shared" si="7"/>
        <v/>
      </c>
      <c r="X338" s="59"/>
      <c r="Y338" s="60" t="str">
        <f t="shared" si="2"/>
        <v>Expired</v>
      </c>
      <c r="Z338" s="59">
        <f t="shared" si="3"/>
        <v>0</v>
      </c>
      <c r="AA338" s="67"/>
      <c r="AB338" s="67"/>
      <c r="AC338" s="67"/>
    </row>
    <row r="339">
      <c r="D339" s="69"/>
      <c r="I339" s="61"/>
      <c r="J339" s="61"/>
      <c r="K339" s="61"/>
      <c r="L339" s="61"/>
    </row>
    <row r="340">
      <c r="D340" s="69"/>
      <c r="I340" s="61"/>
      <c r="J340" s="61"/>
      <c r="K340" s="61"/>
      <c r="L340" s="61"/>
    </row>
    <row r="341">
      <c r="D341" s="69"/>
      <c r="I341" s="61"/>
      <c r="J341" s="61"/>
      <c r="K341" s="61"/>
      <c r="L341" s="61"/>
    </row>
    <row r="342">
      <c r="D342" s="69"/>
      <c r="I342" s="61"/>
      <c r="J342" s="61"/>
      <c r="K342" s="61"/>
      <c r="L342" s="61"/>
    </row>
    <row r="343">
      <c r="D343" s="69"/>
      <c r="I343" s="61"/>
      <c r="J343" s="61"/>
      <c r="K343" s="61"/>
      <c r="L343" s="61"/>
    </row>
    <row r="344">
      <c r="D344" s="69"/>
      <c r="I344" s="61"/>
      <c r="J344" s="61"/>
      <c r="K344" s="61"/>
      <c r="L344" s="61"/>
    </row>
    <row r="345">
      <c r="D345" s="69"/>
      <c r="I345" s="61"/>
      <c r="J345" s="61"/>
      <c r="K345" s="61"/>
      <c r="L345" s="61"/>
    </row>
    <row r="346">
      <c r="D346" s="69"/>
      <c r="I346" s="61"/>
      <c r="J346" s="61"/>
      <c r="K346" s="61"/>
      <c r="L346" s="61"/>
    </row>
    <row r="347">
      <c r="D347" s="69"/>
      <c r="I347" s="61"/>
      <c r="J347" s="61"/>
      <c r="K347" s="61"/>
      <c r="L347" s="61"/>
    </row>
    <row r="348">
      <c r="D348" s="69"/>
      <c r="I348" s="61"/>
      <c r="J348" s="61"/>
      <c r="K348" s="61"/>
      <c r="L348" s="61"/>
    </row>
    <row r="349">
      <c r="D349" s="69"/>
      <c r="I349" s="61"/>
      <c r="J349" s="61"/>
      <c r="K349" s="61"/>
      <c r="L349" s="61"/>
    </row>
    <row r="350">
      <c r="D350" s="69"/>
      <c r="I350" s="61"/>
      <c r="J350" s="61"/>
      <c r="K350" s="61"/>
      <c r="L350" s="61"/>
    </row>
    <row r="351">
      <c r="D351" s="69"/>
      <c r="I351" s="61"/>
      <c r="J351" s="61"/>
      <c r="K351" s="61"/>
      <c r="L351" s="61"/>
    </row>
    <row r="352">
      <c r="D352" s="69"/>
      <c r="I352" s="61"/>
      <c r="J352" s="61"/>
      <c r="K352" s="61"/>
      <c r="L352" s="61"/>
    </row>
    <row r="353">
      <c r="D353" s="69"/>
      <c r="I353" s="61"/>
      <c r="J353" s="61"/>
      <c r="K353" s="61"/>
      <c r="L353" s="61"/>
    </row>
    <row r="354">
      <c r="D354" s="69"/>
      <c r="I354" s="61"/>
      <c r="J354" s="61"/>
      <c r="K354" s="61"/>
      <c r="L354" s="61"/>
    </row>
    <row r="355">
      <c r="D355" s="69"/>
      <c r="I355" s="61"/>
      <c r="J355" s="61"/>
      <c r="K355" s="61"/>
      <c r="L355" s="61"/>
    </row>
    <row r="356">
      <c r="D356" s="69"/>
      <c r="I356" s="61"/>
      <c r="J356" s="61"/>
      <c r="K356" s="61"/>
      <c r="L356" s="61"/>
    </row>
    <row r="357">
      <c r="D357" s="69"/>
      <c r="I357" s="61"/>
      <c r="J357" s="61"/>
      <c r="K357" s="61"/>
      <c r="L357" s="61"/>
    </row>
    <row r="358">
      <c r="D358" s="69"/>
      <c r="I358" s="61"/>
      <c r="J358" s="61"/>
      <c r="K358" s="61"/>
      <c r="L358" s="61"/>
    </row>
    <row r="359">
      <c r="D359" s="69"/>
      <c r="I359" s="61"/>
      <c r="J359" s="61"/>
      <c r="K359" s="61"/>
      <c r="L359" s="61"/>
    </row>
    <row r="360">
      <c r="D360" s="69"/>
      <c r="I360" s="61"/>
      <c r="J360" s="61"/>
      <c r="K360" s="61"/>
      <c r="L360" s="61"/>
    </row>
    <row r="361">
      <c r="D361" s="69"/>
      <c r="I361" s="61"/>
      <c r="J361" s="61"/>
      <c r="K361" s="61"/>
      <c r="L361" s="61"/>
    </row>
    <row r="362">
      <c r="D362" s="69"/>
      <c r="I362" s="61"/>
      <c r="J362" s="61"/>
      <c r="K362" s="61"/>
      <c r="L362" s="61"/>
    </row>
    <row r="363">
      <c r="D363" s="69"/>
      <c r="I363" s="61"/>
      <c r="J363" s="61"/>
      <c r="K363" s="61"/>
      <c r="L363" s="61"/>
    </row>
    <row r="364">
      <c r="D364" s="69"/>
      <c r="I364" s="61"/>
      <c r="J364" s="61"/>
      <c r="K364" s="61"/>
      <c r="L364" s="61"/>
    </row>
    <row r="365">
      <c r="D365" s="69"/>
      <c r="I365" s="61"/>
      <c r="J365" s="61"/>
      <c r="K365" s="61"/>
      <c r="L365" s="61"/>
    </row>
    <row r="366">
      <c r="D366" s="69"/>
      <c r="I366" s="61"/>
      <c r="J366" s="61"/>
      <c r="K366" s="61"/>
      <c r="L366" s="61"/>
    </row>
    <row r="367">
      <c r="D367" s="69"/>
      <c r="I367" s="61"/>
      <c r="J367" s="61"/>
      <c r="K367" s="61"/>
      <c r="L367" s="61"/>
    </row>
    <row r="368">
      <c r="D368" s="69"/>
      <c r="I368" s="61"/>
      <c r="J368" s="61"/>
      <c r="K368" s="61"/>
      <c r="L368" s="61"/>
    </row>
    <row r="369">
      <c r="D369" s="69"/>
      <c r="I369" s="61"/>
      <c r="J369" s="61"/>
      <c r="K369" s="61"/>
      <c r="L369" s="61"/>
    </row>
    <row r="370">
      <c r="D370" s="69"/>
      <c r="I370" s="61"/>
      <c r="J370" s="61"/>
      <c r="K370" s="61"/>
      <c r="L370" s="61"/>
    </row>
    <row r="371">
      <c r="D371" s="69"/>
      <c r="I371" s="61"/>
      <c r="J371" s="61"/>
      <c r="K371" s="61"/>
      <c r="L371" s="61"/>
    </row>
    <row r="372">
      <c r="D372" s="69"/>
      <c r="I372" s="61"/>
      <c r="J372" s="61"/>
      <c r="K372" s="61"/>
      <c r="L372" s="61"/>
    </row>
    <row r="373">
      <c r="D373" s="69"/>
      <c r="I373" s="61"/>
      <c r="J373" s="61"/>
      <c r="K373" s="61"/>
      <c r="L373" s="61"/>
    </row>
    <row r="374">
      <c r="D374" s="69"/>
      <c r="I374" s="61"/>
      <c r="J374" s="61"/>
      <c r="K374" s="61"/>
      <c r="L374" s="61"/>
    </row>
    <row r="375">
      <c r="D375" s="69"/>
      <c r="I375" s="61"/>
      <c r="J375" s="61"/>
      <c r="K375" s="61"/>
      <c r="L375" s="61"/>
    </row>
    <row r="376">
      <c r="D376" s="69"/>
      <c r="I376" s="61"/>
      <c r="J376" s="61"/>
      <c r="K376" s="61"/>
      <c r="L376" s="61"/>
    </row>
    <row r="377">
      <c r="D377" s="69"/>
      <c r="I377" s="61"/>
      <c r="J377" s="61"/>
      <c r="K377" s="61"/>
      <c r="L377" s="61"/>
    </row>
    <row r="378">
      <c r="D378" s="69"/>
      <c r="I378" s="61"/>
      <c r="J378" s="61"/>
      <c r="K378" s="61"/>
      <c r="L378" s="61"/>
    </row>
    <row r="379">
      <c r="D379" s="69"/>
      <c r="I379" s="61"/>
      <c r="J379" s="61"/>
      <c r="K379" s="61"/>
      <c r="L379" s="61"/>
    </row>
    <row r="380">
      <c r="D380" s="69"/>
      <c r="I380" s="61"/>
      <c r="J380" s="61"/>
      <c r="K380" s="61"/>
      <c r="L380" s="61"/>
    </row>
    <row r="381">
      <c r="D381" s="69"/>
      <c r="I381" s="61"/>
      <c r="J381" s="61"/>
      <c r="K381" s="61"/>
      <c r="L381" s="61"/>
    </row>
    <row r="382">
      <c r="D382" s="69"/>
      <c r="I382" s="61"/>
      <c r="J382" s="61"/>
      <c r="K382" s="61"/>
      <c r="L382" s="61"/>
    </row>
    <row r="383">
      <c r="D383" s="69"/>
      <c r="I383" s="61"/>
      <c r="J383" s="61"/>
      <c r="K383" s="61"/>
      <c r="L383" s="61"/>
    </row>
    <row r="384">
      <c r="D384" s="69"/>
      <c r="I384" s="61"/>
      <c r="J384" s="61"/>
      <c r="K384" s="61"/>
      <c r="L384" s="61"/>
    </row>
    <row r="385">
      <c r="D385" s="69"/>
      <c r="I385" s="61"/>
      <c r="J385" s="61"/>
      <c r="K385" s="61"/>
      <c r="L385" s="61"/>
    </row>
    <row r="386">
      <c r="D386" s="69"/>
      <c r="I386" s="61"/>
      <c r="J386" s="61"/>
      <c r="K386" s="61"/>
      <c r="L386" s="61"/>
    </row>
    <row r="387">
      <c r="D387" s="69"/>
      <c r="I387" s="61"/>
      <c r="J387" s="61"/>
      <c r="K387" s="61"/>
      <c r="L387" s="61"/>
    </row>
    <row r="388">
      <c r="D388" s="69"/>
      <c r="I388" s="61"/>
      <c r="J388" s="61"/>
      <c r="K388" s="61"/>
      <c r="L388" s="61"/>
    </row>
    <row r="389">
      <c r="D389" s="69"/>
      <c r="I389" s="61"/>
      <c r="J389" s="61"/>
      <c r="K389" s="61"/>
      <c r="L389" s="61"/>
    </row>
    <row r="390">
      <c r="D390" s="69"/>
      <c r="I390" s="61"/>
      <c r="J390" s="61"/>
      <c r="K390" s="61"/>
      <c r="L390" s="61"/>
    </row>
    <row r="391">
      <c r="D391" s="69"/>
      <c r="I391" s="61"/>
      <c r="J391" s="61"/>
      <c r="K391" s="61"/>
      <c r="L391" s="61"/>
    </row>
    <row r="392">
      <c r="D392" s="69"/>
      <c r="I392" s="61"/>
      <c r="J392" s="61"/>
      <c r="K392" s="61"/>
      <c r="L392" s="61"/>
    </row>
    <row r="393">
      <c r="D393" s="69"/>
      <c r="I393" s="61"/>
      <c r="J393" s="61"/>
      <c r="K393" s="61"/>
      <c r="L393" s="61"/>
    </row>
    <row r="394">
      <c r="D394" s="69"/>
      <c r="I394" s="61"/>
      <c r="J394" s="61"/>
      <c r="K394" s="61"/>
      <c r="L394" s="61"/>
    </row>
    <row r="395">
      <c r="D395" s="69"/>
      <c r="I395" s="61"/>
      <c r="J395" s="61"/>
      <c r="K395" s="61"/>
      <c r="L395" s="61"/>
    </row>
    <row r="396">
      <c r="D396" s="69"/>
      <c r="I396" s="61"/>
      <c r="J396" s="61"/>
      <c r="K396" s="61"/>
      <c r="L396" s="61"/>
    </row>
    <row r="397">
      <c r="D397" s="69"/>
      <c r="I397" s="61"/>
      <c r="J397" s="61"/>
      <c r="K397" s="61"/>
      <c r="L397" s="61"/>
    </row>
    <row r="398">
      <c r="D398" s="69"/>
      <c r="I398" s="61"/>
      <c r="J398" s="61"/>
      <c r="K398" s="61"/>
      <c r="L398" s="61"/>
    </row>
    <row r="399">
      <c r="D399" s="69"/>
      <c r="I399" s="61"/>
      <c r="J399" s="61"/>
      <c r="K399" s="61"/>
      <c r="L399" s="61"/>
    </row>
    <row r="400">
      <c r="D400" s="69"/>
      <c r="I400" s="61"/>
      <c r="J400" s="61"/>
      <c r="K400" s="61"/>
      <c r="L400" s="61"/>
    </row>
    <row r="401">
      <c r="D401" s="69"/>
      <c r="I401" s="61"/>
      <c r="J401" s="61"/>
      <c r="K401" s="61"/>
      <c r="L401" s="61"/>
    </row>
    <row r="402">
      <c r="D402" s="69"/>
      <c r="I402" s="61"/>
      <c r="J402" s="61"/>
      <c r="K402" s="61"/>
      <c r="L402" s="61"/>
    </row>
    <row r="403">
      <c r="D403" s="69"/>
      <c r="I403" s="61"/>
      <c r="J403" s="61"/>
      <c r="K403" s="61"/>
      <c r="L403" s="61"/>
    </row>
    <row r="404">
      <c r="D404" s="69"/>
      <c r="I404" s="61"/>
      <c r="J404" s="61"/>
      <c r="K404" s="61"/>
      <c r="L404" s="61"/>
    </row>
    <row r="405">
      <c r="D405" s="69"/>
      <c r="I405" s="61"/>
      <c r="J405" s="61"/>
      <c r="K405" s="61"/>
      <c r="L405" s="61"/>
    </row>
    <row r="406">
      <c r="D406" s="69"/>
      <c r="I406" s="61"/>
      <c r="J406" s="61"/>
      <c r="K406" s="61"/>
      <c r="L406" s="61"/>
    </row>
    <row r="407">
      <c r="D407" s="69"/>
      <c r="I407" s="61"/>
      <c r="J407" s="61"/>
      <c r="K407" s="61"/>
      <c r="L407" s="61"/>
    </row>
    <row r="408">
      <c r="D408" s="69"/>
      <c r="I408" s="61"/>
      <c r="J408" s="61"/>
      <c r="K408" s="61"/>
      <c r="L408" s="61"/>
    </row>
    <row r="409">
      <c r="D409" s="69"/>
      <c r="I409" s="61"/>
      <c r="J409" s="61"/>
      <c r="K409" s="61"/>
      <c r="L409" s="61"/>
    </row>
    <row r="410">
      <c r="D410" s="69"/>
      <c r="I410" s="61"/>
      <c r="J410" s="61"/>
      <c r="K410" s="61"/>
      <c r="L410" s="61"/>
    </row>
    <row r="411">
      <c r="D411" s="69"/>
      <c r="I411" s="61"/>
      <c r="J411" s="61"/>
      <c r="K411" s="61"/>
      <c r="L411" s="61"/>
    </row>
    <row r="412">
      <c r="D412" s="69"/>
      <c r="I412" s="61"/>
      <c r="J412" s="61"/>
      <c r="K412" s="61"/>
      <c r="L412" s="61"/>
    </row>
    <row r="413">
      <c r="D413" s="69"/>
      <c r="I413" s="61"/>
      <c r="J413" s="61"/>
      <c r="K413" s="61"/>
      <c r="L413" s="61"/>
    </row>
    <row r="414">
      <c r="D414" s="69"/>
      <c r="I414" s="61"/>
      <c r="J414" s="61"/>
      <c r="K414" s="61"/>
      <c r="L414" s="61"/>
    </row>
    <row r="415">
      <c r="D415" s="69"/>
      <c r="I415" s="61"/>
      <c r="J415" s="61"/>
      <c r="K415" s="61"/>
      <c r="L415" s="61"/>
    </row>
    <row r="416">
      <c r="D416" s="69"/>
      <c r="I416" s="61"/>
      <c r="J416" s="61"/>
      <c r="K416" s="61"/>
      <c r="L416" s="61"/>
    </row>
    <row r="417">
      <c r="D417" s="69"/>
      <c r="I417" s="61"/>
      <c r="J417" s="61"/>
      <c r="K417" s="61"/>
      <c r="L417" s="61"/>
    </row>
    <row r="418">
      <c r="D418" s="69"/>
      <c r="I418" s="61"/>
      <c r="J418" s="61"/>
      <c r="K418" s="61"/>
      <c r="L418" s="61"/>
    </row>
    <row r="419">
      <c r="D419" s="69"/>
      <c r="I419" s="61"/>
      <c r="J419" s="61"/>
      <c r="K419" s="61"/>
      <c r="L419" s="61"/>
    </row>
    <row r="420">
      <c r="D420" s="69"/>
      <c r="I420" s="61"/>
      <c r="J420" s="61"/>
      <c r="K420" s="61"/>
      <c r="L420" s="61"/>
    </row>
    <row r="421">
      <c r="D421" s="69"/>
      <c r="I421" s="61"/>
      <c r="J421" s="61"/>
      <c r="K421" s="61"/>
      <c r="L421" s="61"/>
    </row>
    <row r="422">
      <c r="D422" s="69"/>
      <c r="I422" s="61"/>
      <c r="J422" s="61"/>
      <c r="K422" s="61"/>
      <c r="L422" s="61"/>
    </row>
    <row r="423">
      <c r="D423" s="69"/>
      <c r="I423" s="61"/>
      <c r="J423" s="61"/>
      <c r="K423" s="61"/>
      <c r="L423" s="61"/>
    </row>
    <row r="424">
      <c r="D424" s="69"/>
      <c r="I424" s="61"/>
      <c r="J424" s="61"/>
      <c r="K424" s="61"/>
      <c r="L424" s="61"/>
    </row>
    <row r="425">
      <c r="D425" s="69"/>
      <c r="I425" s="61"/>
      <c r="J425" s="61"/>
      <c r="K425" s="61"/>
      <c r="L425" s="61"/>
    </row>
    <row r="426">
      <c r="D426" s="69"/>
      <c r="I426" s="61"/>
      <c r="J426" s="61"/>
      <c r="K426" s="61"/>
      <c r="L426" s="61"/>
    </row>
    <row r="427">
      <c r="D427" s="69"/>
      <c r="I427" s="61"/>
      <c r="J427" s="61"/>
      <c r="K427" s="61"/>
      <c r="L427" s="61"/>
    </row>
    <row r="428">
      <c r="D428" s="69"/>
      <c r="I428" s="61"/>
      <c r="J428" s="61"/>
      <c r="K428" s="61"/>
      <c r="L428" s="61"/>
    </row>
    <row r="429">
      <c r="D429" s="69"/>
      <c r="I429" s="61"/>
      <c r="J429" s="61"/>
      <c r="K429" s="61"/>
      <c r="L429" s="61"/>
    </row>
    <row r="430">
      <c r="D430" s="69"/>
      <c r="I430" s="61"/>
      <c r="J430" s="61"/>
      <c r="K430" s="61"/>
      <c r="L430" s="61"/>
    </row>
    <row r="431">
      <c r="D431" s="69"/>
      <c r="I431" s="61"/>
      <c r="J431" s="61"/>
      <c r="K431" s="61"/>
      <c r="L431" s="61"/>
    </row>
    <row r="432">
      <c r="D432" s="69"/>
      <c r="I432" s="61"/>
      <c r="J432" s="61"/>
      <c r="K432" s="61"/>
      <c r="L432" s="61"/>
    </row>
    <row r="433">
      <c r="D433" s="69"/>
      <c r="I433" s="61"/>
      <c r="J433" s="61"/>
      <c r="K433" s="61"/>
      <c r="L433" s="61"/>
    </row>
    <row r="434">
      <c r="D434" s="69"/>
      <c r="I434" s="61"/>
      <c r="J434" s="61"/>
      <c r="K434" s="61"/>
      <c r="L434" s="61"/>
    </row>
    <row r="435">
      <c r="D435" s="69"/>
      <c r="I435" s="61"/>
      <c r="J435" s="61"/>
      <c r="K435" s="61"/>
      <c r="L435" s="61"/>
    </row>
    <row r="436">
      <c r="D436" s="69"/>
      <c r="I436" s="61"/>
      <c r="J436" s="61"/>
      <c r="K436" s="61"/>
      <c r="L436" s="61"/>
    </row>
    <row r="437">
      <c r="D437" s="69"/>
      <c r="I437" s="61"/>
      <c r="J437" s="61"/>
      <c r="K437" s="61"/>
      <c r="L437" s="61"/>
    </row>
    <row r="438">
      <c r="D438" s="69"/>
      <c r="I438" s="61"/>
      <c r="J438" s="61"/>
      <c r="K438" s="61"/>
      <c r="L438" s="61"/>
    </row>
    <row r="439">
      <c r="D439" s="69"/>
      <c r="I439" s="61"/>
      <c r="J439" s="61"/>
      <c r="K439" s="61"/>
      <c r="L439" s="61"/>
    </row>
    <row r="440">
      <c r="D440" s="69"/>
      <c r="I440" s="61"/>
      <c r="J440" s="61"/>
      <c r="K440" s="61"/>
      <c r="L440" s="61"/>
    </row>
    <row r="441">
      <c r="D441" s="69"/>
      <c r="I441" s="61"/>
      <c r="J441" s="61"/>
      <c r="K441" s="61"/>
      <c r="L441" s="61"/>
    </row>
    <row r="442">
      <c r="D442" s="69"/>
      <c r="I442" s="61"/>
      <c r="J442" s="61"/>
      <c r="K442" s="61"/>
      <c r="L442" s="61"/>
    </row>
    <row r="443">
      <c r="D443" s="69"/>
      <c r="I443" s="61"/>
      <c r="J443" s="61"/>
      <c r="K443" s="61"/>
      <c r="L443" s="61"/>
    </row>
    <row r="444">
      <c r="D444" s="69"/>
      <c r="I444" s="61"/>
      <c r="J444" s="61"/>
      <c r="K444" s="61"/>
      <c r="L444" s="61"/>
    </row>
    <row r="445">
      <c r="D445" s="69"/>
      <c r="I445" s="61"/>
      <c r="J445" s="61"/>
      <c r="K445" s="61"/>
      <c r="L445" s="61"/>
    </row>
    <row r="446">
      <c r="D446" s="69"/>
      <c r="I446" s="61"/>
      <c r="J446" s="61"/>
      <c r="K446" s="61"/>
      <c r="L446" s="61"/>
    </row>
    <row r="447">
      <c r="D447" s="69"/>
      <c r="I447" s="61"/>
      <c r="J447" s="61"/>
      <c r="K447" s="61"/>
      <c r="L447" s="61"/>
    </row>
    <row r="448">
      <c r="D448" s="69"/>
      <c r="I448" s="61"/>
      <c r="J448" s="61"/>
      <c r="K448" s="61"/>
      <c r="L448" s="61"/>
    </row>
    <row r="449">
      <c r="D449" s="69"/>
      <c r="I449" s="61"/>
      <c r="J449" s="61"/>
      <c r="K449" s="61"/>
      <c r="L449" s="61"/>
    </row>
    <row r="450">
      <c r="D450" s="69"/>
      <c r="I450" s="61"/>
      <c r="J450" s="61"/>
      <c r="K450" s="61"/>
      <c r="L450" s="61"/>
    </row>
    <row r="451">
      <c r="D451" s="69"/>
      <c r="I451" s="61"/>
      <c r="J451" s="61"/>
      <c r="K451" s="61"/>
      <c r="L451" s="61"/>
    </row>
    <row r="452">
      <c r="D452" s="69"/>
      <c r="I452" s="61"/>
      <c r="J452" s="61"/>
      <c r="K452" s="61"/>
      <c r="L452" s="61"/>
    </row>
    <row r="453">
      <c r="D453" s="69"/>
      <c r="I453" s="61"/>
      <c r="J453" s="61"/>
      <c r="K453" s="61"/>
      <c r="L453" s="61"/>
    </row>
    <row r="454">
      <c r="D454" s="69"/>
      <c r="I454" s="61"/>
      <c r="J454" s="61"/>
      <c r="K454" s="61"/>
      <c r="L454" s="61"/>
    </row>
    <row r="455">
      <c r="D455" s="69"/>
      <c r="I455" s="61"/>
      <c r="J455" s="61"/>
      <c r="K455" s="61"/>
      <c r="L455" s="61"/>
    </row>
    <row r="456">
      <c r="D456" s="69"/>
      <c r="I456" s="61"/>
      <c r="J456" s="61"/>
      <c r="K456" s="61"/>
      <c r="L456" s="61"/>
    </row>
    <row r="457">
      <c r="D457" s="69"/>
      <c r="I457" s="61"/>
      <c r="J457" s="61"/>
      <c r="K457" s="61"/>
      <c r="L457" s="61"/>
    </row>
    <row r="458">
      <c r="D458" s="69"/>
      <c r="I458" s="61"/>
      <c r="J458" s="61"/>
      <c r="K458" s="61"/>
      <c r="L458" s="61"/>
    </row>
    <row r="459">
      <c r="D459" s="69"/>
      <c r="I459" s="61"/>
      <c r="J459" s="61"/>
      <c r="K459" s="61"/>
      <c r="L459" s="61"/>
    </row>
    <row r="460">
      <c r="D460" s="69"/>
      <c r="I460" s="61"/>
      <c r="J460" s="61"/>
      <c r="K460" s="61"/>
      <c r="L460" s="61"/>
    </row>
    <row r="461">
      <c r="D461" s="69"/>
      <c r="I461" s="61"/>
      <c r="J461" s="61"/>
      <c r="K461" s="61"/>
      <c r="L461" s="61"/>
    </row>
    <row r="462">
      <c r="D462" s="69"/>
      <c r="I462" s="61"/>
      <c r="J462" s="61"/>
      <c r="K462" s="61"/>
      <c r="L462" s="61"/>
    </row>
    <row r="463">
      <c r="D463" s="69"/>
      <c r="I463" s="61"/>
      <c r="J463" s="61"/>
      <c r="K463" s="61"/>
      <c r="L463" s="61"/>
    </row>
    <row r="464">
      <c r="D464" s="69"/>
      <c r="I464" s="61"/>
      <c r="J464" s="61"/>
      <c r="K464" s="61"/>
      <c r="L464" s="61"/>
    </row>
    <row r="465">
      <c r="D465" s="69"/>
      <c r="I465" s="61"/>
      <c r="J465" s="61"/>
      <c r="K465" s="61"/>
      <c r="L465" s="61"/>
    </row>
    <row r="466">
      <c r="D466" s="69"/>
      <c r="I466" s="61"/>
      <c r="J466" s="61"/>
      <c r="K466" s="61"/>
      <c r="L466" s="61"/>
    </row>
    <row r="467">
      <c r="D467" s="69"/>
      <c r="I467" s="61"/>
      <c r="J467" s="61"/>
      <c r="K467" s="61"/>
      <c r="L467" s="61"/>
    </row>
    <row r="468">
      <c r="D468" s="69"/>
      <c r="I468" s="61"/>
      <c r="J468" s="61"/>
      <c r="K468" s="61"/>
      <c r="L468" s="61"/>
    </row>
    <row r="469">
      <c r="D469" s="69"/>
      <c r="I469" s="61"/>
      <c r="J469" s="61"/>
      <c r="K469" s="61"/>
      <c r="L469" s="61"/>
    </row>
    <row r="470">
      <c r="D470" s="69"/>
      <c r="I470" s="61"/>
      <c r="J470" s="61"/>
      <c r="K470" s="61"/>
      <c r="L470" s="61"/>
    </row>
    <row r="471">
      <c r="D471" s="69"/>
      <c r="I471" s="61"/>
      <c r="J471" s="61"/>
      <c r="K471" s="61"/>
      <c r="L471" s="61"/>
    </row>
    <row r="472">
      <c r="D472" s="69"/>
      <c r="I472" s="61"/>
      <c r="J472" s="61"/>
      <c r="K472" s="61"/>
      <c r="L472" s="61"/>
    </row>
    <row r="473">
      <c r="D473" s="69"/>
      <c r="I473" s="61"/>
      <c r="J473" s="61"/>
      <c r="K473" s="61"/>
      <c r="L473" s="61"/>
    </row>
    <row r="474">
      <c r="D474" s="69"/>
      <c r="I474" s="61"/>
      <c r="J474" s="61"/>
      <c r="K474" s="61"/>
      <c r="L474" s="61"/>
    </row>
    <row r="475">
      <c r="D475" s="69"/>
      <c r="I475" s="61"/>
      <c r="J475" s="61"/>
      <c r="K475" s="61"/>
      <c r="L475" s="61"/>
    </row>
    <row r="476">
      <c r="D476" s="69"/>
      <c r="I476" s="61"/>
      <c r="J476" s="61"/>
      <c r="K476" s="61"/>
      <c r="L476" s="61"/>
    </row>
    <row r="477">
      <c r="D477" s="69"/>
      <c r="I477" s="61"/>
      <c r="J477" s="61"/>
      <c r="K477" s="61"/>
      <c r="L477" s="61"/>
    </row>
    <row r="478">
      <c r="D478" s="69"/>
      <c r="I478" s="61"/>
      <c r="J478" s="61"/>
      <c r="K478" s="61"/>
      <c r="L478" s="61"/>
    </row>
    <row r="479">
      <c r="D479" s="69"/>
      <c r="I479" s="61"/>
      <c r="J479" s="61"/>
      <c r="K479" s="61"/>
      <c r="L479" s="61"/>
    </row>
    <row r="480">
      <c r="D480" s="69"/>
      <c r="I480" s="61"/>
      <c r="J480" s="61"/>
      <c r="K480" s="61"/>
      <c r="L480" s="61"/>
    </row>
    <row r="481">
      <c r="D481" s="69"/>
      <c r="I481" s="61"/>
      <c r="J481" s="61"/>
      <c r="K481" s="61"/>
      <c r="L481" s="61"/>
    </row>
    <row r="482">
      <c r="D482" s="69"/>
      <c r="I482" s="61"/>
      <c r="J482" s="61"/>
      <c r="K482" s="61"/>
      <c r="L482" s="61"/>
    </row>
    <row r="483">
      <c r="D483" s="69"/>
      <c r="I483" s="61"/>
      <c r="J483" s="61"/>
      <c r="K483" s="61"/>
      <c r="L483" s="61"/>
    </row>
    <row r="484">
      <c r="D484" s="69"/>
      <c r="I484" s="61"/>
      <c r="J484" s="61"/>
      <c r="K484" s="61"/>
      <c r="L484" s="61"/>
    </row>
    <row r="485">
      <c r="D485" s="69"/>
      <c r="I485" s="61"/>
      <c r="J485" s="61"/>
      <c r="K485" s="61"/>
      <c r="L485" s="61"/>
    </row>
    <row r="486">
      <c r="D486" s="69"/>
      <c r="I486" s="61"/>
      <c r="J486" s="61"/>
      <c r="K486" s="61"/>
      <c r="L486" s="61"/>
    </row>
    <row r="487">
      <c r="D487" s="69"/>
      <c r="I487" s="61"/>
      <c r="J487" s="61"/>
      <c r="K487" s="61"/>
      <c r="L487" s="61"/>
    </row>
    <row r="488">
      <c r="D488" s="69"/>
      <c r="I488" s="61"/>
      <c r="J488" s="61"/>
      <c r="K488" s="61"/>
      <c r="L488" s="61"/>
    </row>
    <row r="489">
      <c r="D489" s="69"/>
      <c r="I489" s="61"/>
      <c r="J489" s="61"/>
      <c r="K489" s="61"/>
      <c r="L489" s="61"/>
    </row>
    <row r="490">
      <c r="D490" s="69"/>
      <c r="I490" s="61"/>
      <c r="J490" s="61"/>
      <c r="K490" s="61"/>
      <c r="L490" s="61"/>
    </row>
    <row r="491">
      <c r="D491" s="69"/>
      <c r="I491" s="61"/>
      <c r="J491" s="61"/>
      <c r="K491" s="61"/>
      <c r="L491" s="61"/>
    </row>
    <row r="492">
      <c r="D492" s="69"/>
      <c r="I492" s="61"/>
      <c r="J492" s="61"/>
      <c r="K492" s="61"/>
      <c r="L492" s="61"/>
    </row>
    <row r="493">
      <c r="D493" s="69"/>
      <c r="I493" s="61"/>
      <c r="J493" s="61"/>
      <c r="K493" s="61"/>
      <c r="L493" s="61"/>
    </row>
    <row r="494">
      <c r="D494" s="69"/>
      <c r="I494" s="61"/>
      <c r="J494" s="61"/>
      <c r="K494" s="61"/>
      <c r="L494" s="61"/>
    </row>
    <row r="495">
      <c r="D495" s="69"/>
      <c r="I495" s="61"/>
      <c r="J495" s="61"/>
      <c r="K495" s="61"/>
      <c r="L495" s="61"/>
    </row>
    <row r="496">
      <c r="D496" s="69"/>
      <c r="I496" s="61"/>
      <c r="J496" s="61"/>
      <c r="K496" s="61"/>
      <c r="L496" s="61"/>
    </row>
    <row r="497">
      <c r="D497" s="69"/>
      <c r="I497" s="61"/>
      <c r="J497" s="61"/>
      <c r="K497" s="61"/>
      <c r="L497" s="61"/>
    </row>
    <row r="498">
      <c r="D498" s="69"/>
      <c r="I498" s="61"/>
      <c r="J498" s="61"/>
      <c r="K498" s="61"/>
      <c r="L498" s="61"/>
    </row>
    <row r="499">
      <c r="D499" s="69"/>
      <c r="I499" s="61"/>
      <c r="J499" s="61"/>
      <c r="K499" s="61"/>
      <c r="L499" s="61"/>
    </row>
    <row r="500">
      <c r="D500" s="69"/>
      <c r="I500" s="61"/>
      <c r="J500" s="61"/>
      <c r="K500" s="61"/>
      <c r="L500" s="61"/>
    </row>
    <row r="501">
      <c r="D501" s="69"/>
      <c r="I501" s="61"/>
      <c r="J501" s="61"/>
      <c r="K501" s="61"/>
      <c r="L501" s="61"/>
    </row>
    <row r="502">
      <c r="D502" s="69"/>
      <c r="I502" s="61"/>
      <c r="J502" s="61"/>
      <c r="K502" s="61"/>
      <c r="L502" s="61"/>
    </row>
    <row r="503">
      <c r="D503" s="69"/>
      <c r="I503" s="61"/>
      <c r="J503" s="61"/>
      <c r="K503" s="61"/>
      <c r="L503" s="61"/>
    </row>
    <row r="504">
      <c r="D504" s="69"/>
      <c r="I504" s="61"/>
      <c r="J504" s="61"/>
      <c r="K504" s="61"/>
      <c r="L504" s="61"/>
    </row>
    <row r="505">
      <c r="D505" s="69"/>
      <c r="I505" s="61"/>
      <c r="J505" s="61"/>
      <c r="K505" s="61"/>
      <c r="L505" s="61"/>
    </row>
    <row r="506">
      <c r="D506" s="69"/>
      <c r="I506" s="61"/>
      <c r="J506" s="61"/>
      <c r="K506" s="61"/>
      <c r="L506" s="61"/>
    </row>
    <row r="507">
      <c r="D507" s="69"/>
      <c r="I507" s="61"/>
      <c r="J507" s="61"/>
      <c r="K507" s="61"/>
      <c r="L507" s="61"/>
    </row>
    <row r="508">
      <c r="D508" s="69"/>
      <c r="I508" s="61"/>
      <c r="J508" s="61"/>
      <c r="K508" s="61"/>
      <c r="L508" s="61"/>
    </row>
    <row r="509">
      <c r="D509" s="69"/>
      <c r="I509" s="61"/>
      <c r="J509" s="61"/>
      <c r="K509" s="61"/>
      <c r="L509" s="61"/>
    </row>
    <row r="510">
      <c r="D510" s="69"/>
      <c r="I510" s="61"/>
      <c r="J510" s="61"/>
      <c r="K510" s="61"/>
      <c r="L510" s="61"/>
    </row>
    <row r="511">
      <c r="D511" s="69"/>
      <c r="I511" s="61"/>
      <c r="J511" s="61"/>
      <c r="K511" s="61"/>
      <c r="L511" s="61"/>
    </row>
    <row r="512">
      <c r="D512" s="69"/>
      <c r="I512" s="61"/>
      <c r="J512" s="61"/>
      <c r="K512" s="61"/>
      <c r="L512" s="61"/>
    </row>
    <row r="513">
      <c r="D513" s="69"/>
      <c r="I513" s="61"/>
      <c r="J513" s="61"/>
      <c r="K513" s="61"/>
      <c r="L513" s="61"/>
    </row>
    <row r="514">
      <c r="D514" s="69"/>
      <c r="I514" s="61"/>
      <c r="J514" s="61"/>
      <c r="K514" s="61"/>
      <c r="L514" s="61"/>
    </row>
    <row r="515">
      <c r="D515" s="69"/>
      <c r="I515" s="61"/>
      <c r="J515" s="61"/>
      <c r="K515" s="61"/>
      <c r="L515" s="61"/>
    </row>
    <row r="516">
      <c r="D516" s="69"/>
      <c r="I516" s="61"/>
      <c r="J516" s="61"/>
      <c r="K516" s="61"/>
      <c r="L516" s="61"/>
    </row>
    <row r="517">
      <c r="D517" s="69"/>
      <c r="I517" s="61"/>
      <c r="J517" s="61"/>
      <c r="K517" s="61"/>
      <c r="L517" s="61"/>
    </row>
    <row r="518">
      <c r="D518" s="69"/>
      <c r="I518" s="61"/>
      <c r="J518" s="61"/>
      <c r="K518" s="61"/>
      <c r="L518" s="61"/>
    </row>
    <row r="519">
      <c r="D519" s="69"/>
      <c r="I519" s="61"/>
      <c r="J519" s="61"/>
      <c r="K519" s="61"/>
      <c r="L519" s="61"/>
    </row>
    <row r="520">
      <c r="D520" s="69"/>
      <c r="I520" s="61"/>
      <c r="J520" s="61"/>
      <c r="K520" s="61"/>
      <c r="L520" s="61"/>
    </row>
    <row r="521">
      <c r="D521" s="69"/>
      <c r="I521" s="61"/>
      <c r="J521" s="61"/>
      <c r="K521" s="61"/>
      <c r="L521" s="61"/>
    </row>
    <row r="522">
      <c r="D522" s="69"/>
      <c r="I522" s="61"/>
      <c r="J522" s="61"/>
      <c r="K522" s="61"/>
      <c r="L522" s="61"/>
    </row>
    <row r="523">
      <c r="D523" s="69"/>
      <c r="I523" s="61"/>
      <c r="J523" s="61"/>
      <c r="K523" s="61"/>
      <c r="L523" s="61"/>
    </row>
    <row r="524">
      <c r="D524" s="69"/>
      <c r="I524" s="61"/>
      <c r="J524" s="61"/>
      <c r="K524" s="61"/>
      <c r="L524" s="61"/>
    </row>
    <row r="525">
      <c r="D525" s="69"/>
      <c r="I525" s="61"/>
      <c r="J525" s="61"/>
      <c r="K525" s="61"/>
      <c r="L525" s="61"/>
    </row>
    <row r="526">
      <c r="D526" s="69"/>
      <c r="I526" s="61"/>
      <c r="J526" s="61"/>
      <c r="K526" s="61"/>
      <c r="L526" s="61"/>
    </row>
    <row r="527">
      <c r="D527" s="69"/>
      <c r="I527" s="61"/>
      <c r="J527" s="61"/>
      <c r="K527" s="61"/>
      <c r="L527" s="61"/>
    </row>
    <row r="528">
      <c r="D528" s="69"/>
      <c r="I528" s="61"/>
      <c r="J528" s="61"/>
      <c r="K528" s="61"/>
      <c r="L528" s="61"/>
    </row>
    <row r="529">
      <c r="D529" s="69"/>
      <c r="I529" s="61"/>
      <c r="J529" s="61"/>
      <c r="K529" s="61"/>
      <c r="L529" s="61"/>
    </row>
    <row r="530">
      <c r="D530" s="69"/>
      <c r="I530" s="61"/>
      <c r="J530" s="61"/>
      <c r="K530" s="61"/>
      <c r="L530" s="61"/>
    </row>
    <row r="531">
      <c r="D531" s="69"/>
      <c r="I531" s="61"/>
      <c r="J531" s="61"/>
      <c r="K531" s="61"/>
      <c r="L531" s="61"/>
    </row>
    <row r="532">
      <c r="D532" s="69"/>
      <c r="I532" s="61"/>
      <c r="J532" s="61"/>
      <c r="K532" s="61"/>
      <c r="L532" s="61"/>
    </row>
    <row r="533">
      <c r="D533" s="69"/>
      <c r="I533" s="61"/>
      <c r="J533" s="61"/>
      <c r="K533" s="61"/>
      <c r="L533" s="61"/>
    </row>
    <row r="534">
      <c r="D534" s="69"/>
      <c r="I534" s="61"/>
      <c r="J534" s="61"/>
      <c r="K534" s="61"/>
      <c r="L534" s="61"/>
    </row>
    <row r="535">
      <c r="D535" s="69"/>
      <c r="I535" s="61"/>
      <c r="J535" s="61"/>
      <c r="K535" s="61"/>
      <c r="L535" s="61"/>
    </row>
    <row r="536">
      <c r="D536" s="69"/>
      <c r="I536" s="61"/>
      <c r="J536" s="61"/>
      <c r="K536" s="61"/>
      <c r="L536" s="61"/>
    </row>
    <row r="537">
      <c r="D537" s="69"/>
      <c r="I537" s="61"/>
      <c r="J537" s="61"/>
      <c r="K537" s="61"/>
      <c r="L537" s="61"/>
    </row>
    <row r="538">
      <c r="D538" s="69"/>
      <c r="I538" s="61"/>
      <c r="J538" s="61"/>
      <c r="K538" s="61"/>
      <c r="L538" s="61"/>
    </row>
    <row r="539">
      <c r="D539" s="69"/>
      <c r="I539" s="61"/>
      <c r="J539" s="61"/>
      <c r="K539" s="61"/>
      <c r="L539" s="61"/>
    </row>
    <row r="540">
      <c r="D540" s="69"/>
      <c r="I540" s="61"/>
      <c r="J540" s="61"/>
      <c r="K540" s="61"/>
      <c r="L540" s="61"/>
    </row>
    <row r="541">
      <c r="D541" s="69"/>
      <c r="I541" s="61"/>
      <c r="J541" s="61"/>
      <c r="K541" s="61"/>
      <c r="L541" s="61"/>
    </row>
    <row r="542">
      <c r="D542" s="69"/>
      <c r="I542" s="61"/>
      <c r="J542" s="61"/>
      <c r="K542" s="61"/>
      <c r="L542" s="61"/>
    </row>
    <row r="543">
      <c r="D543" s="69"/>
      <c r="I543" s="61"/>
      <c r="J543" s="61"/>
      <c r="K543" s="61"/>
      <c r="L543" s="61"/>
    </row>
    <row r="544">
      <c r="D544" s="69"/>
      <c r="I544" s="61"/>
      <c r="J544" s="61"/>
      <c r="K544" s="61"/>
      <c r="L544" s="61"/>
    </row>
    <row r="545">
      <c r="D545" s="69"/>
      <c r="I545" s="61"/>
      <c r="J545" s="61"/>
      <c r="K545" s="61"/>
      <c r="L545" s="61"/>
    </row>
    <row r="546">
      <c r="D546" s="69"/>
      <c r="I546" s="61"/>
      <c r="J546" s="61"/>
      <c r="K546" s="61"/>
      <c r="L546" s="61"/>
    </row>
    <row r="547">
      <c r="D547" s="69"/>
      <c r="I547" s="61"/>
      <c r="J547" s="61"/>
      <c r="K547" s="61"/>
      <c r="L547" s="61"/>
    </row>
    <row r="548">
      <c r="D548" s="69"/>
      <c r="I548" s="61"/>
      <c r="J548" s="61"/>
      <c r="K548" s="61"/>
      <c r="L548" s="61"/>
    </row>
    <row r="549">
      <c r="D549" s="69"/>
      <c r="I549" s="61"/>
      <c r="J549" s="61"/>
      <c r="K549" s="61"/>
      <c r="L549" s="61"/>
    </row>
    <row r="550">
      <c r="D550" s="69"/>
      <c r="I550" s="61"/>
      <c r="J550" s="61"/>
      <c r="K550" s="61"/>
      <c r="L550" s="61"/>
    </row>
    <row r="551">
      <c r="D551" s="69"/>
      <c r="I551" s="61"/>
      <c r="J551" s="61"/>
      <c r="K551" s="61"/>
      <c r="L551" s="61"/>
    </row>
    <row r="552">
      <c r="D552" s="69"/>
      <c r="I552" s="61"/>
      <c r="J552" s="61"/>
      <c r="K552" s="61"/>
      <c r="L552" s="61"/>
    </row>
    <row r="553">
      <c r="D553" s="69"/>
      <c r="I553" s="61"/>
      <c r="J553" s="61"/>
      <c r="K553" s="61"/>
      <c r="L553" s="61"/>
    </row>
    <row r="554">
      <c r="D554" s="69"/>
      <c r="I554" s="61"/>
      <c r="J554" s="61"/>
      <c r="K554" s="61"/>
      <c r="L554" s="61"/>
    </row>
    <row r="555">
      <c r="D555" s="69"/>
      <c r="I555" s="61"/>
      <c r="J555" s="61"/>
      <c r="K555" s="61"/>
      <c r="L555" s="61"/>
    </row>
    <row r="556">
      <c r="D556" s="69"/>
      <c r="I556" s="61"/>
      <c r="J556" s="61"/>
      <c r="K556" s="61"/>
      <c r="L556" s="61"/>
    </row>
    <row r="557">
      <c r="D557" s="69"/>
      <c r="I557" s="61"/>
      <c r="J557" s="61"/>
      <c r="K557" s="61"/>
      <c r="L557" s="61"/>
    </row>
    <row r="558">
      <c r="D558" s="69"/>
      <c r="I558" s="61"/>
      <c r="J558" s="61"/>
      <c r="K558" s="61"/>
      <c r="L558" s="61"/>
    </row>
    <row r="559">
      <c r="D559" s="69"/>
      <c r="I559" s="61"/>
      <c r="J559" s="61"/>
      <c r="K559" s="61"/>
      <c r="L559" s="61"/>
    </row>
    <row r="560">
      <c r="D560" s="69"/>
      <c r="I560" s="61"/>
      <c r="J560" s="61"/>
      <c r="K560" s="61"/>
      <c r="L560" s="61"/>
    </row>
    <row r="561">
      <c r="D561" s="69"/>
      <c r="I561" s="61"/>
      <c r="J561" s="61"/>
      <c r="K561" s="61"/>
      <c r="L561" s="61"/>
    </row>
    <row r="562">
      <c r="D562" s="69"/>
      <c r="I562" s="61"/>
      <c r="J562" s="61"/>
      <c r="K562" s="61"/>
      <c r="L562" s="61"/>
    </row>
    <row r="563">
      <c r="D563" s="69"/>
      <c r="I563" s="61"/>
      <c r="J563" s="61"/>
      <c r="K563" s="61"/>
      <c r="L563" s="61"/>
    </row>
    <row r="564">
      <c r="D564" s="69"/>
      <c r="I564" s="61"/>
      <c r="J564" s="61"/>
      <c r="K564" s="61"/>
      <c r="L564" s="61"/>
    </row>
    <row r="565">
      <c r="D565" s="69"/>
      <c r="I565" s="61"/>
      <c r="J565" s="61"/>
      <c r="K565" s="61"/>
      <c r="L565" s="61"/>
    </row>
    <row r="566">
      <c r="D566" s="69"/>
      <c r="I566" s="61"/>
      <c r="J566" s="61"/>
      <c r="K566" s="61"/>
      <c r="L566" s="61"/>
    </row>
    <row r="567">
      <c r="D567" s="69"/>
      <c r="I567" s="61"/>
      <c r="J567" s="61"/>
      <c r="K567" s="61"/>
      <c r="L567" s="61"/>
    </row>
    <row r="568">
      <c r="D568" s="69"/>
      <c r="I568" s="61"/>
      <c r="J568" s="61"/>
      <c r="K568" s="61"/>
      <c r="L568" s="61"/>
    </row>
    <row r="569">
      <c r="D569" s="69"/>
      <c r="I569" s="61"/>
      <c r="J569" s="61"/>
      <c r="K569" s="61"/>
      <c r="L569" s="61"/>
    </row>
    <row r="570">
      <c r="D570" s="69"/>
      <c r="I570" s="61"/>
      <c r="J570" s="61"/>
      <c r="K570" s="61"/>
      <c r="L570" s="61"/>
    </row>
    <row r="571">
      <c r="D571" s="69"/>
      <c r="I571" s="61"/>
      <c r="J571" s="61"/>
      <c r="K571" s="61"/>
      <c r="L571" s="61"/>
    </row>
    <row r="572">
      <c r="D572" s="69"/>
      <c r="I572" s="61"/>
      <c r="J572" s="61"/>
      <c r="K572" s="61"/>
      <c r="L572" s="61"/>
    </row>
    <row r="573">
      <c r="D573" s="69"/>
      <c r="I573" s="61"/>
      <c r="J573" s="61"/>
      <c r="K573" s="61"/>
      <c r="L573" s="61"/>
    </row>
    <row r="574">
      <c r="D574" s="69"/>
      <c r="I574" s="61"/>
      <c r="J574" s="61"/>
      <c r="K574" s="61"/>
      <c r="L574" s="61"/>
    </row>
    <row r="575">
      <c r="D575" s="69"/>
      <c r="I575" s="61"/>
      <c r="J575" s="61"/>
      <c r="K575" s="61"/>
      <c r="L575" s="61"/>
    </row>
    <row r="576">
      <c r="D576" s="69"/>
      <c r="I576" s="61"/>
      <c r="J576" s="61"/>
      <c r="K576" s="61"/>
      <c r="L576" s="61"/>
    </row>
    <row r="577">
      <c r="D577" s="69"/>
      <c r="I577" s="61"/>
      <c r="J577" s="61"/>
      <c r="K577" s="61"/>
      <c r="L577" s="61"/>
    </row>
    <row r="578">
      <c r="D578" s="69"/>
      <c r="I578" s="61"/>
      <c r="J578" s="61"/>
      <c r="K578" s="61"/>
      <c r="L578" s="61"/>
    </row>
    <row r="579">
      <c r="D579" s="69"/>
      <c r="I579" s="61"/>
      <c r="J579" s="61"/>
      <c r="K579" s="61"/>
      <c r="L579" s="61"/>
    </row>
    <row r="580">
      <c r="D580" s="69"/>
      <c r="I580" s="61"/>
      <c r="J580" s="61"/>
      <c r="K580" s="61"/>
      <c r="L580" s="61"/>
    </row>
    <row r="581">
      <c r="D581" s="69"/>
      <c r="I581" s="61"/>
      <c r="J581" s="61"/>
      <c r="K581" s="61"/>
      <c r="L581" s="61"/>
    </row>
    <row r="582">
      <c r="D582" s="69"/>
      <c r="I582" s="61"/>
      <c r="J582" s="61"/>
      <c r="K582" s="61"/>
      <c r="L582" s="61"/>
    </row>
    <row r="583">
      <c r="D583" s="69"/>
      <c r="I583" s="61"/>
      <c r="J583" s="61"/>
      <c r="K583" s="61"/>
      <c r="L583" s="61"/>
    </row>
    <row r="584">
      <c r="D584" s="69"/>
      <c r="I584" s="61"/>
      <c r="J584" s="61"/>
      <c r="K584" s="61"/>
      <c r="L584" s="61"/>
    </row>
    <row r="585">
      <c r="D585" s="69"/>
      <c r="I585" s="61"/>
      <c r="J585" s="61"/>
      <c r="K585" s="61"/>
      <c r="L585" s="61"/>
    </row>
    <row r="586">
      <c r="D586" s="69"/>
      <c r="I586" s="61"/>
      <c r="J586" s="61"/>
      <c r="K586" s="61"/>
      <c r="L586" s="61"/>
    </row>
    <row r="587">
      <c r="D587" s="69"/>
      <c r="I587" s="61"/>
      <c r="J587" s="61"/>
      <c r="K587" s="61"/>
      <c r="L587" s="61"/>
    </row>
    <row r="588">
      <c r="D588" s="69"/>
      <c r="I588" s="61"/>
      <c r="J588" s="61"/>
      <c r="K588" s="61"/>
      <c r="L588" s="61"/>
    </row>
    <row r="589">
      <c r="D589" s="69"/>
      <c r="I589" s="61"/>
      <c r="J589" s="61"/>
      <c r="K589" s="61"/>
      <c r="L589" s="61"/>
    </row>
    <row r="590">
      <c r="D590" s="69"/>
      <c r="I590" s="61"/>
      <c r="J590" s="61"/>
      <c r="K590" s="61"/>
      <c r="L590" s="61"/>
    </row>
    <row r="591">
      <c r="D591" s="69"/>
      <c r="I591" s="61"/>
      <c r="J591" s="61"/>
      <c r="K591" s="61"/>
      <c r="L591" s="61"/>
    </row>
    <row r="592">
      <c r="D592" s="69"/>
      <c r="I592" s="61"/>
      <c r="J592" s="61"/>
      <c r="K592" s="61"/>
      <c r="L592" s="61"/>
    </row>
    <row r="593">
      <c r="D593" s="69"/>
      <c r="I593" s="61"/>
      <c r="J593" s="61"/>
      <c r="K593" s="61"/>
      <c r="L593" s="61"/>
    </row>
    <row r="594">
      <c r="D594" s="69"/>
      <c r="I594" s="61"/>
      <c r="J594" s="61"/>
      <c r="K594" s="61"/>
      <c r="L594" s="61"/>
    </row>
    <row r="595">
      <c r="D595" s="69"/>
      <c r="I595" s="61"/>
      <c r="J595" s="61"/>
      <c r="K595" s="61"/>
      <c r="L595" s="61"/>
    </row>
    <row r="596">
      <c r="D596" s="69"/>
      <c r="I596" s="61"/>
      <c r="J596" s="61"/>
      <c r="K596" s="61"/>
      <c r="L596" s="61"/>
    </row>
    <row r="597">
      <c r="D597" s="69"/>
      <c r="I597" s="61"/>
      <c r="J597" s="61"/>
      <c r="K597" s="61"/>
      <c r="L597" s="61"/>
    </row>
    <row r="598">
      <c r="D598" s="69"/>
      <c r="I598" s="61"/>
      <c r="J598" s="61"/>
      <c r="K598" s="61"/>
      <c r="L598" s="61"/>
    </row>
    <row r="599">
      <c r="D599" s="69"/>
      <c r="I599" s="61"/>
      <c r="J599" s="61"/>
      <c r="K599" s="61"/>
      <c r="L599" s="61"/>
    </row>
    <row r="600">
      <c r="D600" s="69"/>
      <c r="I600" s="61"/>
      <c r="J600" s="61"/>
      <c r="K600" s="61"/>
      <c r="L600" s="61"/>
    </row>
    <row r="601">
      <c r="D601" s="69"/>
      <c r="I601" s="61"/>
      <c r="J601" s="61"/>
      <c r="K601" s="61"/>
      <c r="L601" s="61"/>
    </row>
    <row r="602">
      <c r="D602" s="69"/>
      <c r="I602" s="61"/>
      <c r="J602" s="61"/>
      <c r="K602" s="61"/>
      <c r="L602" s="61"/>
    </row>
    <row r="603">
      <c r="D603" s="69"/>
      <c r="I603" s="61"/>
      <c r="J603" s="61"/>
      <c r="K603" s="61"/>
      <c r="L603" s="61"/>
    </row>
    <row r="604">
      <c r="D604" s="69"/>
      <c r="I604" s="61"/>
      <c r="J604" s="61"/>
      <c r="K604" s="61"/>
      <c r="L604" s="61"/>
    </row>
    <row r="605">
      <c r="D605" s="69"/>
      <c r="I605" s="61"/>
      <c r="J605" s="61"/>
      <c r="K605" s="61"/>
      <c r="L605" s="61"/>
    </row>
    <row r="606">
      <c r="D606" s="69"/>
      <c r="I606" s="61"/>
      <c r="J606" s="61"/>
      <c r="K606" s="61"/>
      <c r="L606" s="61"/>
    </row>
    <row r="607">
      <c r="D607" s="69"/>
      <c r="I607" s="61"/>
      <c r="J607" s="61"/>
      <c r="K607" s="61"/>
      <c r="L607" s="61"/>
    </row>
    <row r="608">
      <c r="D608" s="69"/>
      <c r="I608" s="61"/>
      <c r="J608" s="61"/>
      <c r="K608" s="61"/>
      <c r="L608" s="61"/>
    </row>
    <row r="609">
      <c r="D609" s="69"/>
      <c r="I609" s="61"/>
      <c r="J609" s="61"/>
      <c r="K609" s="61"/>
      <c r="L609" s="61"/>
    </row>
    <row r="610">
      <c r="D610" s="69"/>
      <c r="I610" s="61"/>
      <c r="J610" s="61"/>
      <c r="K610" s="61"/>
      <c r="L610" s="61"/>
    </row>
    <row r="611">
      <c r="D611" s="69"/>
      <c r="I611" s="61"/>
      <c r="J611" s="61"/>
      <c r="K611" s="61"/>
      <c r="L611" s="61"/>
    </row>
    <row r="612">
      <c r="D612" s="69"/>
      <c r="I612" s="61"/>
      <c r="J612" s="61"/>
      <c r="K612" s="61"/>
      <c r="L612" s="61"/>
    </row>
    <row r="613">
      <c r="D613" s="69"/>
      <c r="I613" s="61"/>
      <c r="J613" s="61"/>
      <c r="K613" s="61"/>
      <c r="L613" s="61"/>
    </row>
    <row r="614">
      <c r="D614" s="69"/>
      <c r="I614" s="61"/>
      <c r="J614" s="61"/>
      <c r="K614" s="61"/>
      <c r="L614" s="61"/>
    </row>
    <row r="615">
      <c r="D615" s="69"/>
      <c r="I615" s="61"/>
      <c r="J615" s="61"/>
      <c r="K615" s="61"/>
      <c r="L615" s="61"/>
    </row>
    <row r="616">
      <c r="D616" s="69"/>
      <c r="I616" s="61"/>
      <c r="J616" s="61"/>
      <c r="K616" s="61"/>
      <c r="L616" s="61"/>
    </row>
    <row r="617">
      <c r="D617" s="69"/>
      <c r="I617" s="61"/>
      <c r="J617" s="61"/>
      <c r="K617" s="61"/>
      <c r="L617" s="61"/>
    </row>
    <row r="618">
      <c r="D618" s="69"/>
      <c r="I618" s="61"/>
      <c r="J618" s="61"/>
      <c r="K618" s="61"/>
      <c r="L618" s="61"/>
    </row>
    <row r="619">
      <c r="D619" s="69"/>
      <c r="I619" s="61"/>
      <c r="J619" s="61"/>
      <c r="K619" s="61"/>
      <c r="L619" s="61"/>
    </row>
    <row r="620">
      <c r="D620" s="69"/>
      <c r="I620" s="61"/>
      <c r="J620" s="61"/>
      <c r="K620" s="61"/>
      <c r="L620" s="61"/>
    </row>
    <row r="621">
      <c r="D621" s="69"/>
      <c r="I621" s="61"/>
      <c r="J621" s="61"/>
      <c r="K621" s="61"/>
      <c r="L621" s="61"/>
    </row>
    <row r="622">
      <c r="D622" s="69"/>
      <c r="I622" s="61"/>
      <c r="J622" s="61"/>
      <c r="K622" s="61"/>
      <c r="L622" s="61"/>
    </row>
    <row r="623">
      <c r="D623" s="69"/>
      <c r="I623" s="61"/>
      <c r="J623" s="61"/>
      <c r="K623" s="61"/>
      <c r="L623" s="61"/>
    </row>
    <row r="624">
      <c r="D624" s="69"/>
      <c r="I624" s="61"/>
      <c r="J624" s="61"/>
      <c r="K624" s="61"/>
      <c r="L624" s="61"/>
    </row>
    <row r="625">
      <c r="D625" s="69"/>
      <c r="I625" s="61"/>
      <c r="J625" s="61"/>
      <c r="K625" s="61"/>
      <c r="L625" s="61"/>
    </row>
    <row r="626">
      <c r="D626" s="69"/>
      <c r="I626" s="61"/>
      <c r="J626" s="61"/>
      <c r="K626" s="61"/>
      <c r="L626" s="61"/>
    </row>
    <row r="627">
      <c r="D627" s="69"/>
      <c r="I627" s="61"/>
      <c r="J627" s="61"/>
      <c r="K627" s="61"/>
      <c r="L627" s="61"/>
    </row>
    <row r="628">
      <c r="D628" s="69"/>
      <c r="I628" s="61"/>
      <c r="J628" s="61"/>
      <c r="K628" s="61"/>
      <c r="L628" s="61"/>
    </row>
    <row r="629">
      <c r="D629" s="69"/>
      <c r="I629" s="61"/>
      <c r="J629" s="61"/>
      <c r="K629" s="61"/>
      <c r="L629" s="61"/>
    </row>
    <row r="630">
      <c r="D630" s="69"/>
      <c r="I630" s="61"/>
      <c r="J630" s="61"/>
      <c r="K630" s="61"/>
      <c r="L630" s="61"/>
    </row>
    <row r="631">
      <c r="D631" s="69"/>
      <c r="I631" s="61"/>
      <c r="J631" s="61"/>
      <c r="K631" s="61"/>
      <c r="L631" s="61"/>
    </row>
    <row r="632">
      <c r="D632" s="69"/>
      <c r="I632" s="61"/>
      <c r="J632" s="61"/>
      <c r="K632" s="61"/>
      <c r="L632" s="61"/>
    </row>
    <row r="633">
      <c r="D633" s="69"/>
      <c r="I633" s="61"/>
      <c r="J633" s="61"/>
      <c r="K633" s="61"/>
      <c r="L633" s="61"/>
    </row>
    <row r="634">
      <c r="D634" s="69"/>
      <c r="I634" s="61"/>
      <c r="J634" s="61"/>
      <c r="K634" s="61"/>
      <c r="L634" s="61"/>
    </row>
    <row r="635">
      <c r="D635" s="69"/>
      <c r="I635" s="61"/>
      <c r="J635" s="61"/>
      <c r="K635" s="61"/>
      <c r="L635" s="61"/>
    </row>
    <row r="636">
      <c r="D636" s="69"/>
      <c r="I636" s="61"/>
      <c r="J636" s="61"/>
      <c r="K636" s="61"/>
      <c r="L636" s="61"/>
    </row>
    <row r="637">
      <c r="D637" s="69"/>
      <c r="I637" s="61"/>
      <c r="J637" s="61"/>
      <c r="K637" s="61"/>
      <c r="L637" s="61"/>
    </row>
    <row r="638">
      <c r="D638" s="69"/>
      <c r="I638" s="61"/>
      <c r="J638" s="61"/>
      <c r="K638" s="61"/>
      <c r="L638" s="61"/>
    </row>
    <row r="639">
      <c r="D639" s="69"/>
      <c r="I639" s="61"/>
      <c r="J639" s="61"/>
      <c r="K639" s="61"/>
      <c r="L639" s="61"/>
    </row>
    <row r="640">
      <c r="D640" s="69"/>
      <c r="I640" s="61"/>
      <c r="J640" s="61"/>
      <c r="K640" s="61"/>
      <c r="L640" s="61"/>
    </row>
    <row r="641">
      <c r="D641" s="69"/>
      <c r="I641" s="61"/>
      <c r="J641" s="61"/>
      <c r="K641" s="61"/>
      <c r="L641" s="61"/>
    </row>
    <row r="642">
      <c r="D642" s="69"/>
      <c r="I642" s="61"/>
      <c r="J642" s="61"/>
      <c r="K642" s="61"/>
      <c r="L642" s="61"/>
    </row>
    <row r="643">
      <c r="D643" s="69"/>
      <c r="I643" s="61"/>
      <c r="J643" s="61"/>
      <c r="K643" s="61"/>
      <c r="L643" s="61"/>
    </row>
    <row r="644">
      <c r="D644" s="69"/>
      <c r="I644" s="61"/>
      <c r="J644" s="61"/>
      <c r="K644" s="61"/>
      <c r="L644" s="61"/>
    </row>
    <row r="645">
      <c r="D645" s="69"/>
      <c r="I645" s="61"/>
      <c r="J645" s="61"/>
      <c r="K645" s="61"/>
      <c r="L645" s="61"/>
    </row>
    <row r="646">
      <c r="D646" s="69"/>
      <c r="I646" s="61"/>
      <c r="J646" s="61"/>
      <c r="K646" s="61"/>
      <c r="L646" s="61"/>
    </row>
    <row r="647">
      <c r="D647" s="69"/>
      <c r="I647" s="61"/>
      <c r="J647" s="61"/>
      <c r="K647" s="61"/>
      <c r="L647" s="61"/>
    </row>
    <row r="648">
      <c r="D648" s="69"/>
      <c r="I648" s="61"/>
      <c r="J648" s="61"/>
      <c r="K648" s="61"/>
      <c r="L648" s="61"/>
    </row>
    <row r="649">
      <c r="D649" s="69"/>
      <c r="I649" s="61"/>
      <c r="J649" s="61"/>
      <c r="K649" s="61"/>
      <c r="L649" s="61"/>
    </row>
    <row r="650">
      <c r="D650" s="69"/>
      <c r="I650" s="61"/>
      <c r="J650" s="61"/>
      <c r="K650" s="61"/>
      <c r="L650" s="61"/>
    </row>
    <row r="651">
      <c r="D651" s="69"/>
      <c r="I651" s="61"/>
      <c r="J651" s="61"/>
      <c r="K651" s="61"/>
      <c r="L651" s="61"/>
    </row>
    <row r="652">
      <c r="D652" s="69"/>
      <c r="I652" s="61"/>
      <c r="J652" s="61"/>
      <c r="K652" s="61"/>
      <c r="L652" s="61"/>
    </row>
    <row r="653">
      <c r="D653" s="69"/>
      <c r="I653" s="61"/>
      <c r="J653" s="61"/>
      <c r="K653" s="61"/>
      <c r="L653" s="61"/>
    </row>
    <row r="654">
      <c r="D654" s="69"/>
      <c r="I654" s="61"/>
      <c r="J654" s="61"/>
      <c r="K654" s="61"/>
      <c r="L654" s="61"/>
    </row>
    <row r="655">
      <c r="D655" s="69"/>
      <c r="I655" s="61"/>
      <c r="J655" s="61"/>
      <c r="K655" s="61"/>
      <c r="L655" s="61"/>
    </row>
    <row r="656">
      <c r="D656" s="69"/>
      <c r="I656" s="61"/>
      <c r="J656" s="61"/>
      <c r="K656" s="61"/>
      <c r="L656" s="61"/>
    </row>
    <row r="657">
      <c r="D657" s="69"/>
      <c r="I657" s="61"/>
      <c r="J657" s="61"/>
      <c r="K657" s="61"/>
      <c r="L657" s="61"/>
    </row>
    <row r="658">
      <c r="D658" s="69"/>
      <c r="I658" s="61"/>
      <c r="J658" s="61"/>
      <c r="K658" s="61"/>
      <c r="L658" s="61"/>
    </row>
    <row r="659">
      <c r="D659" s="69"/>
      <c r="I659" s="61"/>
      <c r="J659" s="61"/>
      <c r="K659" s="61"/>
      <c r="L659" s="61"/>
    </row>
    <row r="660">
      <c r="D660" s="69"/>
      <c r="I660" s="61"/>
      <c r="J660" s="61"/>
      <c r="K660" s="61"/>
      <c r="L660" s="61"/>
    </row>
    <row r="661">
      <c r="D661" s="69"/>
      <c r="I661" s="61"/>
      <c r="J661" s="61"/>
      <c r="K661" s="61"/>
      <c r="L661" s="61"/>
    </row>
    <row r="662">
      <c r="D662" s="69"/>
      <c r="I662" s="61"/>
      <c r="J662" s="61"/>
      <c r="K662" s="61"/>
      <c r="L662" s="61"/>
    </row>
    <row r="663">
      <c r="D663" s="69"/>
      <c r="I663" s="61"/>
      <c r="J663" s="61"/>
      <c r="K663" s="61"/>
      <c r="L663" s="61"/>
    </row>
    <row r="664">
      <c r="D664" s="69"/>
      <c r="I664" s="61"/>
      <c r="J664" s="61"/>
      <c r="K664" s="61"/>
      <c r="L664" s="61"/>
    </row>
    <row r="665">
      <c r="D665" s="69"/>
      <c r="I665" s="61"/>
      <c r="J665" s="61"/>
      <c r="K665" s="61"/>
      <c r="L665" s="61"/>
    </row>
    <row r="666">
      <c r="D666" s="69"/>
      <c r="I666" s="61"/>
      <c r="J666" s="61"/>
      <c r="K666" s="61"/>
      <c r="L666" s="61"/>
    </row>
    <row r="667">
      <c r="D667" s="69"/>
      <c r="I667" s="61"/>
      <c r="J667" s="61"/>
      <c r="K667" s="61"/>
      <c r="L667" s="61"/>
    </row>
    <row r="668">
      <c r="D668" s="69"/>
      <c r="I668" s="61"/>
      <c r="J668" s="61"/>
      <c r="K668" s="61"/>
      <c r="L668" s="61"/>
    </row>
    <row r="669">
      <c r="D669" s="69"/>
      <c r="I669" s="61"/>
      <c r="J669" s="61"/>
      <c r="K669" s="61"/>
      <c r="L669" s="61"/>
    </row>
    <row r="670">
      <c r="D670" s="69"/>
      <c r="I670" s="61"/>
      <c r="J670" s="61"/>
      <c r="K670" s="61"/>
      <c r="L670" s="61"/>
    </row>
    <row r="671">
      <c r="D671" s="69"/>
      <c r="I671" s="61"/>
      <c r="J671" s="61"/>
      <c r="K671" s="61"/>
      <c r="L671" s="61"/>
    </row>
    <row r="672">
      <c r="D672" s="69"/>
      <c r="I672" s="61"/>
      <c r="J672" s="61"/>
      <c r="K672" s="61"/>
      <c r="L672" s="61"/>
    </row>
    <row r="673">
      <c r="D673" s="69"/>
      <c r="I673" s="61"/>
      <c r="J673" s="61"/>
      <c r="K673" s="61"/>
      <c r="L673" s="61"/>
    </row>
    <row r="674">
      <c r="D674" s="69"/>
      <c r="I674" s="61"/>
      <c r="J674" s="61"/>
      <c r="K674" s="61"/>
      <c r="L674" s="61"/>
    </row>
    <row r="675">
      <c r="D675" s="69"/>
      <c r="I675" s="61"/>
      <c r="J675" s="61"/>
      <c r="K675" s="61"/>
      <c r="L675" s="61"/>
    </row>
    <row r="676">
      <c r="D676" s="69"/>
      <c r="I676" s="61"/>
      <c r="J676" s="61"/>
      <c r="K676" s="61"/>
      <c r="L676" s="61"/>
    </row>
    <row r="677">
      <c r="D677" s="69"/>
      <c r="I677" s="61"/>
      <c r="J677" s="61"/>
      <c r="K677" s="61"/>
      <c r="L677" s="61"/>
    </row>
    <row r="678">
      <c r="D678" s="69"/>
      <c r="I678" s="61"/>
      <c r="J678" s="61"/>
      <c r="K678" s="61"/>
      <c r="L678" s="61"/>
    </row>
    <row r="679">
      <c r="D679" s="69"/>
      <c r="I679" s="61"/>
      <c r="J679" s="61"/>
      <c r="K679" s="61"/>
      <c r="L679" s="61"/>
    </row>
    <row r="680">
      <c r="D680" s="69"/>
      <c r="I680" s="61"/>
      <c r="J680" s="61"/>
      <c r="K680" s="61"/>
      <c r="L680" s="61"/>
    </row>
    <row r="681">
      <c r="D681" s="69"/>
      <c r="I681" s="61"/>
      <c r="J681" s="61"/>
      <c r="K681" s="61"/>
      <c r="L681" s="61"/>
    </row>
    <row r="682">
      <c r="D682" s="69"/>
      <c r="I682" s="61"/>
      <c r="J682" s="61"/>
      <c r="K682" s="61"/>
      <c r="L682" s="61"/>
    </row>
    <row r="683">
      <c r="D683" s="69"/>
      <c r="I683" s="61"/>
      <c r="J683" s="61"/>
      <c r="K683" s="61"/>
      <c r="L683" s="61"/>
    </row>
    <row r="684">
      <c r="D684" s="69"/>
      <c r="I684" s="61"/>
      <c r="J684" s="61"/>
      <c r="K684" s="61"/>
      <c r="L684" s="61"/>
    </row>
    <row r="685">
      <c r="D685" s="69"/>
      <c r="I685" s="61"/>
      <c r="J685" s="61"/>
      <c r="K685" s="61"/>
      <c r="L685" s="61"/>
    </row>
    <row r="686">
      <c r="D686" s="69"/>
      <c r="I686" s="61"/>
      <c r="J686" s="61"/>
      <c r="K686" s="61"/>
      <c r="L686" s="61"/>
    </row>
    <row r="687">
      <c r="D687" s="69"/>
      <c r="I687" s="61"/>
      <c r="J687" s="61"/>
      <c r="K687" s="61"/>
      <c r="L687" s="61"/>
    </row>
    <row r="688">
      <c r="D688" s="69"/>
      <c r="I688" s="61"/>
      <c r="J688" s="61"/>
      <c r="K688" s="61"/>
      <c r="L688" s="61"/>
    </row>
    <row r="689">
      <c r="D689" s="69"/>
      <c r="I689" s="61"/>
      <c r="J689" s="61"/>
      <c r="K689" s="61"/>
      <c r="L689" s="61"/>
    </row>
    <row r="690">
      <c r="D690" s="69"/>
      <c r="I690" s="61"/>
      <c r="J690" s="61"/>
      <c r="K690" s="61"/>
      <c r="L690" s="61"/>
    </row>
    <row r="691">
      <c r="D691" s="69"/>
      <c r="I691" s="61"/>
      <c r="J691" s="61"/>
      <c r="K691" s="61"/>
      <c r="L691" s="61"/>
    </row>
    <row r="692">
      <c r="D692" s="69"/>
      <c r="I692" s="61"/>
      <c r="J692" s="61"/>
      <c r="K692" s="61"/>
      <c r="L692" s="61"/>
    </row>
    <row r="693">
      <c r="D693" s="69"/>
      <c r="I693" s="61"/>
      <c r="J693" s="61"/>
      <c r="K693" s="61"/>
      <c r="L693" s="61"/>
    </row>
    <row r="694">
      <c r="D694" s="69"/>
      <c r="I694" s="61"/>
      <c r="J694" s="61"/>
      <c r="K694" s="61"/>
      <c r="L694" s="61"/>
    </row>
    <row r="695">
      <c r="D695" s="69"/>
      <c r="I695" s="61"/>
      <c r="J695" s="61"/>
      <c r="K695" s="61"/>
      <c r="L695" s="61"/>
    </row>
    <row r="696">
      <c r="D696" s="69"/>
      <c r="I696" s="61"/>
      <c r="J696" s="61"/>
      <c r="K696" s="61"/>
      <c r="L696" s="61"/>
    </row>
    <row r="697">
      <c r="D697" s="69"/>
      <c r="I697" s="61"/>
      <c r="J697" s="61"/>
      <c r="K697" s="61"/>
      <c r="L697" s="61"/>
    </row>
    <row r="698">
      <c r="D698" s="69"/>
      <c r="I698" s="61"/>
      <c r="J698" s="61"/>
      <c r="K698" s="61"/>
      <c r="L698" s="61"/>
    </row>
    <row r="699">
      <c r="D699" s="69"/>
      <c r="I699" s="61"/>
      <c r="J699" s="61"/>
      <c r="K699" s="61"/>
      <c r="L699" s="61"/>
    </row>
    <row r="700">
      <c r="D700" s="69"/>
      <c r="I700" s="61"/>
      <c r="J700" s="61"/>
      <c r="K700" s="61"/>
      <c r="L700" s="61"/>
    </row>
    <row r="701">
      <c r="D701" s="69"/>
      <c r="I701" s="61"/>
      <c r="J701" s="61"/>
      <c r="K701" s="61"/>
      <c r="L701" s="61"/>
    </row>
    <row r="702">
      <c r="D702" s="69"/>
      <c r="I702" s="61"/>
      <c r="J702" s="61"/>
      <c r="K702" s="61"/>
      <c r="L702" s="61"/>
    </row>
    <row r="703">
      <c r="D703" s="69"/>
      <c r="I703" s="61"/>
      <c r="J703" s="61"/>
      <c r="K703" s="61"/>
      <c r="L703" s="61"/>
    </row>
    <row r="704">
      <c r="D704" s="69"/>
      <c r="I704" s="61"/>
      <c r="J704" s="61"/>
      <c r="K704" s="61"/>
      <c r="L704" s="61"/>
    </row>
    <row r="705">
      <c r="D705" s="69"/>
      <c r="I705" s="61"/>
      <c r="J705" s="61"/>
      <c r="K705" s="61"/>
      <c r="L705" s="61"/>
    </row>
    <row r="706">
      <c r="D706" s="69"/>
      <c r="I706" s="61"/>
      <c r="J706" s="61"/>
      <c r="K706" s="61"/>
      <c r="L706" s="61"/>
    </row>
    <row r="707">
      <c r="D707" s="69"/>
      <c r="I707" s="61"/>
      <c r="J707" s="61"/>
      <c r="K707" s="61"/>
      <c r="L707" s="61"/>
    </row>
    <row r="708">
      <c r="D708" s="69"/>
      <c r="I708" s="61"/>
      <c r="J708" s="61"/>
      <c r="K708" s="61"/>
      <c r="L708" s="61"/>
    </row>
    <row r="709">
      <c r="D709" s="69"/>
      <c r="I709" s="61"/>
      <c r="J709" s="61"/>
      <c r="K709" s="61"/>
      <c r="L709" s="61"/>
    </row>
    <row r="710">
      <c r="D710" s="69"/>
      <c r="I710" s="61"/>
      <c r="J710" s="61"/>
      <c r="K710" s="61"/>
      <c r="L710" s="61"/>
    </row>
    <row r="711">
      <c r="D711" s="69"/>
      <c r="I711" s="61"/>
      <c r="J711" s="61"/>
      <c r="K711" s="61"/>
      <c r="L711" s="61"/>
    </row>
    <row r="712">
      <c r="D712" s="69"/>
      <c r="I712" s="61"/>
      <c r="J712" s="61"/>
      <c r="K712" s="61"/>
      <c r="L712" s="61"/>
    </row>
    <row r="713">
      <c r="D713" s="69"/>
      <c r="I713" s="61"/>
      <c r="J713" s="61"/>
      <c r="K713" s="61"/>
      <c r="L713" s="61"/>
    </row>
    <row r="714">
      <c r="D714" s="69"/>
      <c r="I714" s="61"/>
      <c r="J714" s="61"/>
      <c r="K714" s="61"/>
      <c r="L714" s="61"/>
    </row>
    <row r="715">
      <c r="D715" s="69"/>
      <c r="I715" s="61"/>
      <c r="J715" s="61"/>
      <c r="K715" s="61"/>
      <c r="L715" s="61"/>
    </row>
    <row r="716">
      <c r="D716" s="69"/>
      <c r="I716" s="61"/>
      <c r="J716" s="61"/>
      <c r="K716" s="61"/>
      <c r="L716" s="61"/>
    </row>
    <row r="717">
      <c r="D717" s="69"/>
      <c r="I717" s="61"/>
      <c r="J717" s="61"/>
      <c r="K717" s="61"/>
      <c r="L717" s="61"/>
    </row>
    <row r="718">
      <c r="D718" s="69"/>
      <c r="I718" s="61"/>
      <c r="J718" s="61"/>
      <c r="K718" s="61"/>
      <c r="L718" s="61"/>
    </row>
    <row r="719">
      <c r="D719" s="69"/>
      <c r="I719" s="61"/>
      <c r="J719" s="61"/>
      <c r="K719" s="61"/>
      <c r="L719" s="61"/>
    </row>
    <row r="720">
      <c r="D720" s="69"/>
      <c r="I720" s="61"/>
      <c r="J720" s="61"/>
      <c r="K720" s="61"/>
      <c r="L720" s="61"/>
    </row>
    <row r="721">
      <c r="D721" s="69"/>
      <c r="I721" s="61"/>
      <c r="J721" s="61"/>
      <c r="K721" s="61"/>
      <c r="L721" s="61"/>
    </row>
    <row r="722">
      <c r="D722" s="69"/>
      <c r="I722" s="61"/>
      <c r="J722" s="61"/>
      <c r="K722" s="61"/>
      <c r="L722" s="61"/>
    </row>
    <row r="723">
      <c r="D723" s="69"/>
      <c r="I723" s="61"/>
      <c r="J723" s="61"/>
      <c r="K723" s="61"/>
      <c r="L723" s="61"/>
    </row>
    <row r="724">
      <c r="D724" s="69"/>
      <c r="I724" s="61"/>
      <c r="J724" s="61"/>
      <c r="K724" s="61"/>
      <c r="L724" s="61"/>
    </row>
    <row r="725">
      <c r="D725" s="69"/>
      <c r="I725" s="61"/>
      <c r="J725" s="61"/>
      <c r="K725" s="61"/>
      <c r="L725" s="61"/>
    </row>
    <row r="726">
      <c r="D726" s="69"/>
      <c r="I726" s="61"/>
      <c r="J726" s="61"/>
      <c r="K726" s="61"/>
      <c r="L726" s="61"/>
    </row>
    <row r="727">
      <c r="D727" s="69"/>
      <c r="I727" s="61"/>
      <c r="J727" s="61"/>
      <c r="K727" s="61"/>
      <c r="L727" s="61"/>
    </row>
    <row r="728">
      <c r="D728" s="69"/>
      <c r="I728" s="61"/>
      <c r="J728" s="61"/>
      <c r="K728" s="61"/>
      <c r="L728" s="61"/>
    </row>
    <row r="729">
      <c r="D729" s="69"/>
      <c r="I729" s="61"/>
      <c r="J729" s="61"/>
      <c r="K729" s="61"/>
      <c r="L729" s="61"/>
    </row>
    <row r="730">
      <c r="D730" s="69"/>
      <c r="I730" s="61"/>
      <c r="J730" s="61"/>
      <c r="K730" s="61"/>
      <c r="L730" s="61"/>
    </row>
    <row r="731">
      <c r="D731" s="69"/>
      <c r="I731" s="61"/>
      <c r="J731" s="61"/>
      <c r="K731" s="61"/>
      <c r="L731" s="61"/>
    </row>
    <row r="732">
      <c r="D732" s="69"/>
      <c r="I732" s="61"/>
      <c r="J732" s="61"/>
      <c r="K732" s="61"/>
      <c r="L732" s="61"/>
    </row>
    <row r="733">
      <c r="D733" s="69"/>
      <c r="I733" s="61"/>
      <c r="J733" s="61"/>
      <c r="K733" s="61"/>
      <c r="L733" s="61"/>
    </row>
    <row r="734">
      <c r="D734" s="69"/>
      <c r="I734" s="61"/>
      <c r="J734" s="61"/>
      <c r="K734" s="61"/>
      <c r="L734" s="61"/>
    </row>
    <row r="735">
      <c r="D735" s="69"/>
      <c r="I735" s="61"/>
      <c r="J735" s="61"/>
      <c r="K735" s="61"/>
      <c r="L735" s="61"/>
    </row>
    <row r="736">
      <c r="D736" s="69"/>
      <c r="I736" s="61"/>
      <c r="J736" s="61"/>
      <c r="K736" s="61"/>
      <c r="L736" s="61"/>
    </row>
    <row r="737">
      <c r="D737" s="69"/>
      <c r="I737" s="61"/>
      <c r="J737" s="61"/>
      <c r="K737" s="61"/>
      <c r="L737" s="61"/>
    </row>
    <row r="738">
      <c r="D738" s="69"/>
      <c r="I738" s="61"/>
      <c r="J738" s="61"/>
      <c r="K738" s="61"/>
      <c r="L738" s="61"/>
    </row>
    <row r="739">
      <c r="D739" s="69"/>
      <c r="I739" s="61"/>
      <c r="J739" s="61"/>
      <c r="K739" s="61"/>
      <c r="L739" s="61"/>
    </row>
    <row r="740">
      <c r="D740" s="69"/>
      <c r="I740" s="61"/>
      <c r="J740" s="61"/>
      <c r="K740" s="61"/>
      <c r="L740" s="61"/>
    </row>
    <row r="741">
      <c r="D741" s="69"/>
      <c r="I741" s="61"/>
      <c r="J741" s="61"/>
      <c r="K741" s="61"/>
      <c r="L741" s="61"/>
    </row>
    <row r="742">
      <c r="D742" s="69"/>
      <c r="I742" s="61"/>
      <c r="J742" s="61"/>
      <c r="K742" s="61"/>
      <c r="L742" s="61"/>
    </row>
    <row r="743">
      <c r="D743" s="69"/>
      <c r="I743" s="61"/>
      <c r="J743" s="61"/>
      <c r="K743" s="61"/>
      <c r="L743" s="61"/>
    </row>
    <row r="744">
      <c r="D744" s="69"/>
      <c r="I744" s="61"/>
      <c r="J744" s="61"/>
      <c r="K744" s="61"/>
      <c r="L744" s="61"/>
    </row>
    <row r="745">
      <c r="D745" s="69"/>
      <c r="I745" s="61"/>
      <c r="J745" s="61"/>
      <c r="K745" s="61"/>
      <c r="L745" s="61"/>
    </row>
    <row r="746">
      <c r="D746" s="69"/>
      <c r="I746" s="61"/>
      <c r="J746" s="61"/>
      <c r="K746" s="61"/>
      <c r="L746" s="61"/>
    </row>
    <row r="747">
      <c r="D747" s="69"/>
      <c r="I747" s="61"/>
      <c r="J747" s="61"/>
      <c r="K747" s="61"/>
      <c r="L747" s="61"/>
    </row>
    <row r="748">
      <c r="D748" s="69"/>
      <c r="I748" s="61"/>
      <c r="J748" s="61"/>
      <c r="K748" s="61"/>
      <c r="L748" s="61"/>
    </row>
    <row r="749">
      <c r="D749" s="69"/>
      <c r="I749" s="61"/>
      <c r="J749" s="61"/>
      <c r="K749" s="61"/>
      <c r="L749" s="61"/>
    </row>
    <row r="750">
      <c r="D750" s="69"/>
      <c r="I750" s="61"/>
      <c r="J750" s="61"/>
      <c r="K750" s="61"/>
      <c r="L750" s="61"/>
    </row>
    <row r="751">
      <c r="D751" s="69"/>
      <c r="I751" s="61"/>
      <c r="J751" s="61"/>
      <c r="K751" s="61"/>
      <c r="L751" s="61"/>
    </row>
    <row r="752">
      <c r="D752" s="69"/>
      <c r="I752" s="61"/>
      <c r="J752" s="61"/>
      <c r="K752" s="61"/>
      <c r="L752" s="61"/>
    </row>
    <row r="753">
      <c r="D753" s="69"/>
      <c r="I753" s="61"/>
      <c r="J753" s="61"/>
      <c r="K753" s="61"/>
      <c r="L753" s="61"/>
    </row>
    <row r="754">
      <c r="D754" s="69"/>
      <c r="I754" s="61"/>
      <c r="J754" s="61"/>
      <c r="K754" s="61"/>
      <c r="L754" s="61"/>
    </row>
    <row r="755">
      <c r="D755" s="69"/>
      <c r="I755" s="61"/>
      <c r="J755" s="61"/>
      <c r="K755" s="61"/>
      <c r="L755" s="61"/>
    </row>
    <row r="756">
      <c r="D756" s="69"/>
      <c r="I756" s="61"/>
      <c r="J756" s="61"/>
      <c r="K756" s="61"/>
      <c r="L756" s="61"/>
    </row>
    <row r="757">
      <c r="D757" s="69"/>
      <c r="I757" s="61"/>
      <c r="J757" s="61"/>
      <c r="K757" s="61"/>
      <c r="L757" s="61"/>
    </row>
    <row r="758">
      <c r="D758" s="69"/>
      <c r="I758" s="61"/>
      <c r="J758" s="61"/>
      <c r="K758" s="61"/>
      <c r="L758" s="61"/>
    </row>
    <row r="759">
      <c r="D759" s="69"/>
      <c r="I759" s="61"/>
      <c r="J759" s="61"/>
      <c r="K759" s="61"/>
      <c r="L759" s="61"/>
    </row>
    <row r="760">
      <c r="D760" s="69"/>
      <c r="I760" s="61"/>
      <c r="J760" s="61"/>
      <c r="K760" s="61"/>
      <c r="L760" s="61"/>
    </row>
    <row r="761">
      <c r="D761" s="69"/>
      <c r="I761" s="61"/>
      <c r="J761" s="61"/>
      <c r="K761" s="61"/>
      <c r="L761" s="61"/>
    </row>
    <row r="762">
      <c r="D762" s="69"/>
      <c r="I762" s="61"/>
      <c r="J762" s="61"/>
      <c r="K762" s="61"/>
      <c r="L762" s="61"/>
    </row>
    <row r="763">
      <c r="D763" s="69"/>
      <c r="I763" s="61"/>
      <c r="J763" s="61"/>
      <c r="K763" s="61"/>
      <c r="L763" s="61"/>
    </row>
    <row r="764">
      <c r="D764" s="69"/>
      <c r="I764" s="61"/>
      <c r="J764" s="61"/>
      <c r="K764" s="61"/>
      <c r="L764" s="61"/>
    </row>
    <row r="765">
      <c r="D765" s="69"/>
      <c r="I765" s="61"/>
      <c r="J765" s="61"/>
      <c r="K765" s="61"/>
      <c r="L765" s="61"/>
    </row>
    <row r="766">
      <c r="D766" s="69"/>
      <c r="I766" s="61"/>
      <c r="J766" s="61"/>
      <c r="K766" s="61"/>
      <c r="L766" s="61"/>
    </row>
    <row r="767">
      <c r="D767" s="69"/>
      <c r="I767" s="61"/>
      <c r="J767" s="61"/>
      <c r="K767" s="61"/>
      <c r="L767" s="61"/>
    </row>
    <row r="768">
      <c r="D768" s="69"/>
      <c r="I768" s="61"/>
      <c r="J768" s="61"/>
      <c r="K768" s="61"/>
      <c r="L768" s="61"/>
    </row>
    <row r="769">
      <c r="D769" s="69"/>
      <c r="I769" s="61"/>
      <c r="J769" s="61"/>
      <c r="K769" s="61"/>
      <c r="L769" s="61"/>
    </row>
    <row r="770">
      <c r="D770" s="69"/>
      <c r="I770" s="61"/>
      <c r="J770" s="61"/>
      <c r="K770" s="61"/>
      <c r="L770" s="61"/>
    </row>
    <row r="771">
      <c r="D771" s="69"/>
      <c r="I771" s="61"/>
      <c r="J771" s="61"/>
      <c r="K771" s="61"/>
      <c r="L771" s="61"/>
    </row>
    <row r="772">
      <c r="D772" s="69"/>
      <c r="I772" s="61"/>
      <c r="J772" s="61"/>
      <c r="K772" s="61"/>
      <c r="L772" s="61"/>
    </row>
    <row r="773">
      <c r="D773" s="69"/>
      <c r="I773" s="61"/>
      <c r="J773" s="61"/>
      <c r="K773" s="61"/>
      <c r="L773" s="61"/>
    </row>
    <row r="774">
      <c r="D774" s="69"/>
      <c r="I774" s="61"/>
      <c r="J774" s="61"/>
      <c r="K774" s="61"/>
      <c r="L774" s="61"/>
    </row>
    <row r="775">
      <c r="D775" s="69"/>
      <c r="I775" s="61"/>
      <c r="J775" s="61"/>
      <c r="K775" s="61"/>
      <c r="L775" s="61"/>
    </row>
    <row r="776">
      <c r="D776" s="69"/>
      <c r="I776" s="61"/>
      <c r="J776" s="61"/>
      <c r="K776" s="61"/>
      <c r="L776" s="61"/>
    </row>
    <row r="777">
      <c r="D777" s="69"/>
      <c r="I777" s="61"/>
      <c r="J777" s="61"/>
      <c r="K777" s="61"/>
      <c r="L777" s="61"/>
    </row>
    <row r="778">
      <c r="D778" s="69"/>
      <c r="I778" s="61"/>
      <c r="J778" s="61"/>
      <c r="K778" s="61"/>
      <c r="L778" s="61"/>
    </row>
    <row r="779">
      <c r="D779" s="69"/>
      <c r="I779" s="61"/>
      <c r="J779" s="61"/>
      <c r="K779" s="61"/>
      <c r="L779" s="61"/>
    </row>
    <row r="780">
      <c r="D780" s="69"/>
      <c r="I780" s="61"/>
      <c r="J780" s="61"/>
      <c r="K780" s="61"/>
      <c r="L780" s="61"/>
    </row>
    <row r="781">
      <c r="D781" s="69"/>
      <c r="I781" s="61"/>
      <c r="J781" s="61"/>
      <c r="K781" s="61"/>
      <c r="L781" s="61"/>
    </row>
    <row r="782">
      <c r="D782" s="69"/>
      <c r="I782" s="61"/>
      <c r="J782" s="61"/>
      <c r="K782" s="61"/>
      <c r="L782" s="61"/>
    </row>
    <row r="783">
      <c r="D783" s="69"/>
      <c r="I783" s="61"/>
      <c r="J783" s="61"/>
      <c r="K783" s="61"/>
      <c r="L783" s="61"/>
    </row>
    <row r="784">
      <c r="D784" s="69"/>
      <c r="I784" s="61"/>
      <c r="J784" s="61"/>
      <c r="K784" s="61"/>
      <c r="L784" s="61"/>
    </row>
    <row r="785">
      <c r="D785" s="69"/>
      <c r="I785" s="61"/>
      <c r="J785" s="61"/>
      <c r="K785" s="61"/>
      <c r="L785" s="61"/>
    </row>
    <row r="786">
      <c r="D786" s="69"/>
      <c r="I786" s="61"/>
      <c r="J786" s="61"/>
      <c r="K786" s="61"/>
      <c r="L786" s="61"/>
    </row>
    <row r="787">
      <c r="D787" s="69"/>
      <c r="I787" s="61"/>
      <c r="J787" s="61"/>
      <c r="K787" s="61"/>
      <c r="L787" s="61"/>
    </row>
    <row r="788">
      <c r="D788" s="69"/>
      <c r="I788" s="61"/>
      <c r="J788" s="61"/>
      <c r="K788" s="61"/>
      <c r="L788" s="61"/>
    </row>
    <row r="789">
      <c r="D789" s="69"/>
      <c r="I789" s="61"/>
      <c r="J789" s="61"/>
      <c r="K789" s="61"/>
      <c r="L789" s="61"/>
    </row>
    <row r="790">
      <c r="D790" s="69"/>
      <c r="I790" s="61"/>
      <c r="J790" s="61"/>
      <c r="K790" s="61"/>
      <c r="L790" s="61"/>
    </row>
    <row r="791">
      <c r="D791" s="69"/>
      <c r="I791" s="61"/>
      <c r="J791" s="61"/>
      <c r="K791" s="61"/>
      <c r="L791" s="61"/>
    </row>
    <row r="792">
      <c r="D792" s="69"/>
      <c r="I792" s="61"/>
      <c r="J792" s="61"/>
      <c r="K792" s="61"/>
      <c r="L792" s="61"/>
    </row>
    <row r="793">
      <c r="D793" s="69"/>
      <c r="I793" s="61"/>
      <c r="J793" s="61"/>
      <c r="K793" s="61"/>
      <c r="L793" s="61"/>
    </row>
    <row r="794">
      <c r="D794" s="69"/>
      <c r="I794" s="61"/>
      <c r="J794" s="61"/>
      <c r="K794" s="61"/>
      <c r="L794" s="61"/>
    </row>
    <row r="795">
      <c r="D795" s="69"/>
      <c r="I795" s="61"/>
      <c r="J795" s="61"/>
      <c r="K795" s="61"/>
      <c r="L795" s="61"/>
    </row>
    <row r="796">
      <c r="D796" s="69"/>
      <c r="I796" s="61"/>
      <c r="J796" s="61"/>
      <c r="K796" s="61"/>
      <c r="L796" s="61"/>
    </row>
    <row r="797">
      <c r="D797" s="69"/>
      <c r="I797" s="61"/>
      <c r="J797" s="61"/>
      <c r="K797" s="61"/>
      <c r="L797" s="61"/>
    </row>
    <row r="798">
      <c r="D798" s="69"/>
      <c r="I798" s="61"/>
      <c r="J798" s="61"/>
      <c r="K798" s="61"/>
      <c r="L798" s="61"/>
    </row>
    <row r="799">
      <c r="D799" s="69"/>
      <c r="I799" s="61"/>
      <c r="J799" s="61"/>
      <c r="K799" s="61"/>
      <c r="L799" s="61"/>
    </row>
    <row r="800">
      <c r="D800" s="69"/>
      <c r="I800" s="61"/>
      <c r="J800" s="61"/>
      <c r="K800" s="61"/>
      <c r="L800" s="61"/>
    </row>
    <row r="801">
      <c r="D801" s="69"/>
      <c r="I801" s="61"/>
      <c r="J801" s="61"/>
      <c r="K801" s="61"/>
      <c r="L801" s="61"/>
    </row>
    <row r="802">
      <c r="D802" s="69"/>
      <c r="I802" s="61"/>
      <c r="J802" s="61"/>
      <c r="K802" s="61"/>
      <c r="L802" s="61"/>
    </row>
    <row r="803">
      <c r="D803" s="69"/>
      <c r="I803" s="61"/>
      <c r="J803" s="61"/>
      <c r="K803" s="61"/>
      <c r="L803" s="61"/>
    </row>
    <row r="804">
      <c r="D804" s="69"/>
      <c r="I804" s="61"/>
      <c r="J804" s="61"/>
      <c r="K804" s="61"/>
      <c r="L804" s="61"/>
    </row>
    <row r="805">
      <c r="D805" s="69"/>
      <c r="I805" s="61"/>
      <c r="J805" s="61"/>
      <c r="K805" s="61"/>
      <c r="L805" s="61"/>
    </row>
    <row r="806">
      <c r="D806" s="69"/>
      <c r="I806" s="61"/>
      <c r="J806" s="61"/>
      <c r="K806" s="61"/>
      <c r="L806" s="61"/>
    </row>
    <row r="807">
      <c r="D807" s="69"/>
      <c r="I807" s="61"/>
      <c r="J807" s="61"/>
      <c r="K807" s="61"/>
      <c r="L807" s="61"/>
    </row>
    <row r="808">
      <c r="D808" s="69"/>
      <c r="I808" s="61"/>
      <c r="J808" s="61"/>
      <c r="K808" s="61"/>
      <c r="L808" s="61"/>
    </row>
    <row r="809">
      <c r="D809" s="69"/>
      <c r="I809" s="61"/>
      <c r="J809" s="61"/>
      <c r="K809" s="61"/>
      <c r="L809" s="61"/>
    </row>
    <row r="810">
      <c r="D810" s="69"/>
      <c r="I810" s="61"/>
      <c r="J810" s="61"/>
      <c r="K810" s="61"/>
      <c r="L810" s="61"/>
    </row>
    <row r="811">
      <c r="D811" s="69"/>
      <c r="I811" s="61"/>
      <c r="J811" s="61"/>
      <c r="K811" s="61"/>
      <c r="L811" s="61"/>
    </row>
    <row r="812">
      <c r="D812" s="69"/>
      <c r="I812" s="61"/>
      <c r="J812" s="61"/>
      <c r="K812" s="61"/>
      <c r="L812" s="61"/>
    </row>
    <row r="813">
      <c r="D813" s="69"/>
      <c r="I813" s="61"/>
      <c r="J813" s="61"/>
      <c r="K813" s="61"/>
      <c r="L813" s="61"/>
    </row>
    <row r="814">
      <c r="D814" s="69"/>
      <c r="I814" s="61"/>
      <c r="J814" s="61"/>
      <c r="K814" s="61"/>
      <c r="L814" s="61"/>
    </row>
    <row r="815">
      <c r="D815" s="69"/>
      <c r="I815" s="61"/>
      <c r="J815" s="61"/>
      <c r="K815" s="61"/>
      <c r="L815" s="61"/>
    </row>
    <row r="816">
      <c r="D816" s="69"/>
      <c r="I816" s="61"/>
      <c r="J816" s="61"/>
      <c r="K816" s="61"/>
      <c r="L816" s="61"/>
    </row>
    <row r="817">
      <c r="D817" s="69"/>
      <c r="I817" s="61"/>
      <c r="J817" s="61"/>
      <c r="K817" s="61"/>
      <c r="L817" s="61"/>
    </row>
    <row r="818">
      <c r="D818" s="69"/>
      <c r="I818" s="61"/>
      <c r="J818" s="61"/>
      <c r="K818" s="61"/>
      <c r="L818" s="61"/>
    </row>
    <row r="819">
      <c r="D819" s="69"/>
      <c r="I819" s="61"/>
      <c r="J819" s="61"/>
      <c r="K819" s="61"/>
      <c r="L819" s="61"/>
    </row>
    <row r="820">
      <c r="D820" s="69"/>
      <c r="I820" s="61"/>
      <c r="J820" s="61"/>
      <c r="K820" s="61"/>
      <c r="L820" s="61"/>
    </row>
    <row r="821">
      <c r="D821" s="69"/>
      <c r="I821" s="61"/>
      <c r="J821" s="61"/>
      <c r="K821" s="61"/>
      <c r="L821" s="61"/>
    </row>
    <row r="822">
      <c r="D822" s="69"/>
      <c r="I822" s="61"/>
      <c r="J822" s="61"/>
      <c r="K822" s="61"/>
      <c r="L822" s="61"/>
    </row>
    <row r="823">
      <c r="D823" s="69"/>
      <c r="I823" s="61"/>
      <c r="J823" s="61"/>
      <c r="K823" s="61"/>
      <c r="L823" s="61"/>
    </row>
    <row r="824">
      <c r="D824" s="69"/>
      <c r="I824" s="61"/>
      <c r="J824" s="61"/>
      <c r="K824" s="61"/>
      <c r="L824" s="61"/>
    </row>
    <row r="825">
      <c r="D825" s="69"/>
      <c r="I825" s="61"/>
      <c r="J825" s="61"/>
      <c r="K825" s="61"/>
      <c r="L825" s="61"/>
    </row>
    <row r="826">
      <c r="D826" s="69"/>
      <c r="I826" s="61"/>
      <c r="J826" s="61"/>
      <c r="K826" s="61"/>
      <c r="L826" s="61"/>
    </row>
    <row r="827">
      <c r="D827" s="69"/>
      <c r="I827" s="61"/>
      <c r="J827" s="61"/>
      <c r="K827" s="61"/>
      <c r="L827" s="61"/>
    </row>
    <row r="828">
      <c r="D828" s="69"/>
      <c r="I828" s="61"/>
      <c r="J828" s="61"/>
      <c r="K828" s="61"/>
      <c r="L828" s="61"/>
    </row>
    <row r="829">
      <c r="D829" s="69"/>
      <c r="I829" s="61"/>
      <c r="J829" s="61"/>
      <c r="K829" s="61"/>
      <c r="L829" s="61"/>
    </row>
    <row r="830">
      <c r="D830" s="69"/>
      <c r="I830" s="61"/>
      <c r="J830" s="61"/>
      <c r="K830" s="61"/>
      <c r="L830" s="61"/>
    </row>
    <row r="831">
      <c r="D831" s="69"/>
      <c r="I831" s="61"/>
      <c r="J831" s="61"/>
      <c r="K831" s="61"/>
      <c r="L831" s="61"/>
    </row>
    <row r="832">
      <c r="D832" s="69"/>
      <c r="I832" s="61"/>
      <c r="J832" s="61"/>
      <c r="K832" s="61"/>
      <c r="L832" s="61"/>
    </row>
    <row r="833">
      <c r="D833" s="69"/>
      <c r="I833" s="61"/>
      <c r="J833" s="61"/>
      <c r="K833" s="61"/>
      <c r="L833" s="61"/>
    </row>
    <row r="834">
      <c r="D834" s="69"/>
      <c r="I834" s="61"/>
      <c r="J834" s="61"/>
      <c r="K834" s="61"/>
      <c r="L834" s="61"/>
    </row>
    <row r="835">
      <c r="D835" s="69"/>
      <c r="I835" s="61"/>
      <c r="J835" s="61"/>
      <c r="K835" s="61"/>
      <c r="L835" s="61"/>
    </row>
    <row r="836">
      <c r="D836" s="69"/>
      <c r="I836" s="61"/>
      <c r="J836" s="61"/>
      <c r="K836" s="61"/>
      <c r="L836" s="61"/>
    </row>
    <row r="837">
      <c r="D837" s="69"/>
      <c r="I837" s="61"/>
      <c r="J837" s="61"/>
      <c r="K837" s="61"/>
      <c r="L837" s="61"/>
    </row>
    <row r="838">
      <c r="D838" s="69"/>
      <c r="I838" s="61"/>
      <c r="J838" s="61"/>
      <c r="K838" s="61"/>
      <c r="L838" s="61"/>
    </row>
    <row r="839">
      <c r="D839" s="69"/>
      <c r="I839" s="61"/>
      <c r="J839" s="61"/>
      <c r="K839" s="61"/>
      <c r="L839" s="61"/>
    </row>
    <row r="840">
      <c r="D840" s="69"/>
      <c r="I840" s="61"/>
      <c r="J840" s="61"/>
      <c r="K840" s="61"/>
      <c r="L840" s="61"/>
    </row>
    <row r="841">
      <c r="D841" s="69"/>
      <c r="I841" s="61"/>
      <c r="J841" s="61"/>
      <c r="K841" s="61"/>
      <c r="L841" s="61"/>
    </row>
    <row r="842">
      <c r="D842" s="69"/>
      <c r="I842" s="61"/>
      <c r="J842" s="61"/>
      <c r="K842" s="61"/>
      <c r="L842" s="61"/>
    </row>
    <row r="843">
      <c r="D843" s="69"/>
      <c r="I843" s="61"/>
      <c r="J843" s="61"/>
      <c r="K843" s="61"/>
      <c r="L843" s="61"/>
    </row>
    <row r="844">
      <c r="D844" s="69"/>
      <c r="I844" s="61"/>
      <c r="J844" s="61"/>
      <c r="K844" s="61"/>
      <c r="L844" s="61"/>
    </row>
    <row r="845">
      <c r="D845" s="69"/>
      <c r="I845" s="61"/>
      <c r="J845" s="61"/>
      <c r="K845" s="61"/>
      <c r="L845" s="61"/>
    </row>
    <row r="846">
      <c r="D846" s="69"/>
      <c r="I846" s="61"/>
      <c r="J846" s="61"/>
      <c r="K846" s="61"/>
      <c r="L846" s="61"/>
    </row>
    <row r="847">
      <c r="D847" s="69"/>
      <c r="I847" s="61"/>
      <c r="J847" s="61"/>
      <c r="K847" s="61"/>
      <c r="L847" s="61"/>
    </row>
    <row r="848">
      <c r="D848" s="69"/>
      <c r="I848" s="61"/>
      <c r="J848" s="61"/>
      <c r="K848" s="61"/>
      <c r="L848" s="61"/>
    </row>
    <row r="849">
      <c r="D849" s="69"/>
      <c r="I849" s="61"/>
      <c r="J849" s="61"/>
      <c r="K849" s="61"/>
      <c r="L849" s="61"/>
    </row>
    <row r="850">
      <c r="D850" s="69"/>
      <c r="I850" s="61"/>
      <c r="J850" s="61"/>
      <c r="K850" s="61"/>
      <c r="L850" s="61"/>
    </row>
    <row r="851">
      <c r="D851" s="69"/>
      <c r="I851" s="61"/>
      <c r="J851" s="61"/>
      <c r="K851" s="61"/>
      <c r="L851" s="61"/>
    </row>
    <row r="852">
      <c r="D852" s="69"/>
      <c r="I852" s="61"/>
      <c r="J852" s="61"/>
      <c r="K852" s="61"/>
      <c r="L852" s="61"/>
    </row>
    <row r="853">
      <c r="D853" s="69"/>
      <c r="I853" s="61"/>
      <c r="J853" s="61"/>
      <c r="K853" s="61"/>
      <c r="L853" s="61"/>
    </row>
    <row r="854">
      <c r="D854" s="69"/>
      <c r="I854" s="61"/>
      <c r="J854" s="61"/>
      <c r="K854" s="61"/>
      <c r="L854" s="61"/>
    </row>
    <row r="855">
      <c r="D855" s="69"/>
      <c r="I855" s="61"/>
      <c r="J855" s="61"/>
      <c r="K855" s="61"/>
      <c r="L855" s="61"/>
    </row>
    <row r="856">
      <c r="D856" s="69"/>
      <c r="I856" s="61"/>
      <c r="J856" s="61"/>
      <c r="K856" s="61"/>
      <c r="L856" s="61"/>
    </row>
    <row r="857">
      <c r="D857" s="69"/>
      <c r="I857" s="61"/>
      <c r="J857" s="61"/>
      <c r="K857" s="61"/>
      <c r="L857" s="61"/>
    </row>
    <row r="858">
      <c r="D858" s="69"/>
      <c r="I858" s="61"/>
      <c r="J858" s="61"/>
      <c r="K858" s="61"/>
      <c r="L858" s="61"/>
    </row>
    <row r="859">
      <c r="D859" s="69"/>
      <c r="I859" s="61"/>
      <c r="J859" s="61"/>
      <c r="K859" s="61"/>
      <c r="L859" s="61"/>
    </row>
    <row r="860">
      <c r="D860" s="69"/>
      <c r="I860" s="61"/>
      <c r="J860" s="61"/>
      <c r="K860" s="61"/>
      <c r="L860" s="61"/>
    </row>
    <row r="861">
      <c r="D861" s="69"/>
      <c r="I861" s="61"/>
      <c r="J861" s="61"/>
      <c r="K861" s="61"/>
      <c r="L861" s="61"/>
    </row>
    <row r="862">
      <c r="D862" s="69"/>
      <c r="I862" s="61"/>
      <c r="J862" s="61"/>
      <c r="K862" s="61"/>
      <c r="L862" s="61"/>
    </row>
    <row r="863">
      <c r="D863" s="69"/>
      <c r="I863" s="61"/>
      <c r="J863" s="61"/>
      <c r="K863" s="61"/>
      <c r="L863" s="61"/>
    </row>
    <row r="864">
      <c r="D864" s="69"/>
      <c r="I864" s="61"/>
      <c r="J864" s="61"/>
      <c r="K864" s="61"/>
      <c r="L864" s="61"/>
    </row>
    <row r="865">
      <c r="D865" s="69"/>
      <c r="I865" s="61"/>
      <c r="J865" s="61"/>
      <c r="K865" s="61"/>
      <c r="L865" s="61"/>
    </row>
    <row r="866">
      <c r="D866" s="69"/>
      <c r="I866" s="61"/>
      <c r="J866" s="61"/>
      <c r="K866" s="61"/>
      <c r="L866" s="61"/>
    </row>
    <row r="867">
      <c r="D867" s="69"/>
      <c r="I867" s="61"/>
      <c r="J867" s="61"/>
      <c r="K867" s="61"/>
      <c r="L867" s="61"/>
    </row>
    <row r="868">
      <c r="D868" s="69"/>
      <c r="I868" s="61"/>
      <c r="J868" s="61"/>
      <c r="K868" s="61"/>
      <c r="L868" s="61"/>
    </row>
    <row r="869">
      <c r="D869" s="69"/>
      <c r="I869" s="61"/>
      <c r="J869" s="61"/>
      <c r="K869" s="61"/>
      <c r="L869" s="61"/>
    </row>
    <row r="870">
      <c r="D870" s="69"/>
      <c r="I870" s="61"/>
      <c r="J870" s="61"/>
      <c r="K870" s="61"/>
      <c r="L870" s="61"/>
    </row>
    <row r="871">
      <c r="D871" s="69"/>
      <c r="I871" s="61"/>
      <c r="J871" s="61"/>
      <c r="K871" s="61"/>
      <c r="L871" s="61"/>
    </row>
    <row r="872">
      <c r="D872" s="69"/>
      <c r="I872" s="61"/>
      <c r="J872" s="61"/>
      <c r="K872" s="61"/>
      <c r="L872" s="61"/>
    </row>
    <row r="873">
      <c r="D873" s="69"/>
      <c r="I873" s="61"/>
      <c r="J873" s="61"/>
      <c r="K873" s="61"/>
      <c r="L873" s="61"/>
    </row>
    <row r="874">
      <c r="D874" s="69"/>
      <c r="I874" s="61"/>
      <c r="J874" s="61"/>
      <c r="K874" s="61"/>
      <c r="L874" s="61"/>
    </row>
    <row r="875">
      <c r="D875" s="69"/>
      <c r="I875" s="61"/>
      <c r="J875" s="61"/>
      <c r="K875" s="61"/>
      <c r="L875" s="61"/>
    </row>
    <row r="876">
      <c r="D876" s="69"/>
      <c r="I876" s="61"/>
      <c r="J876" s="61"/>
      <c r="K876" s="61"/>
      <c r="L876" s="61"/>
    </row>
    <row r="877">
      <c r="D877" s="69"/>
      <c r="I877" s="61"/>
      <c r="J877" s="61"/>
      <c r="K877" s="61"/>
      <c r="L877" s="61"/>
    </row>
    <row r="878">
      <c r="D878" s="69"/>
      <c r="I878" s="61"/>
      <c r="J878" s="61"/>
      <c r="K878" s="61"/>
      <c r="L878" s="61"/>
    </row>
    <row r="879">
      <c r="D879" s="69"/>
      <c r="I879" s="61"/>
      <c r="J879" s="61"/>
      <c r="K879" s="61"/>
      <c r="L879" s="61"/>
    </row>
    <row r="880">
      <c r="D880" s="69"/>
      <c r="I880" s="61"/>
      <c r="J880" s="61"/>
      <c r="K880" s="61"/>
      <c r="L880" s="61"/>
    </row>
    <row r="881">
      <c r="D881" s="69"/>
      <c r="I881" s="61"/>
      <c r="J881" s="61"/>
      <c r="K881" s="61"/>
      <c r="L881" s="61"/>
    </row>
    <row r="882">
      <c r="D882" s="69"/>
      <c r="I882" s="61"/>
      <c r="J882" s="61"/>
      <c r="K882" s="61"/>
      <c r="L882" s="61"/>
    </row>
    <row r="883">
      <c r="D883" s="69"/>
      <c r="I883" s="61"/>
      <c r="J883" s="61"/>
      <c r="K883" s="61"/>
      <c r="L883" s="61"/>
    </row>
    <row r="884">
      <c r="D884" s="69"/>
      <c r="I884" s="61"/>
      <c r="J884" s="61"/>
      <c r="K884" s="61"/>
      <c r="L884" s="61"/>
    </row>
    <row r="885">
      <c r="D885" s="69"/>
      <c r="I885" s="61"/>
      <c r="J885" s="61"/>
      <c r="K885" s="61"/>
      <c r="L885" s="61"/>
    </row>
    <row r="886">
      <c r="D886" s="69"/>
      <c r="I886" s="61"/>
      <c r="J886" s="61"/>
      <c r="K886" s="61"/>
      <c r="L886" s="61"/>
    </row>
    <row r="887">
      <c r="D887" s="69"/>
      <c r="I887" s="61"/>
      <c r="J887" s="61"/>
      <c r="K887" s="61"/>
      <c r="L887" s="61"/>
    </row>
    <row r="888">
      <c r="D888" s="69"/>
      <c r="I888" s="61"/>
      <c r="J888" s="61"/>
      <c r="K888" s="61"/>
      <c r="L888" s="61"/>
    </row>
    <row r="889">
      <c r="D889" s="69"/>
      <c r="I889" s="61"/>
      <c r="J889" s="61"/>
      <c r="K889" s="61"/>
      <c r="L889" s="61"/>
    </row>
    <row r="890">
      <c r="D890" s="69"/>
      <c r="I890" s="61"/>
      <c r="J890" s="61"/>
      <c r="K890" s="61"/>
      <c r="L890" s="61"/>
    </row>
    <row r="891">
      <c r="D891" s="69"/>
      <c r="I891" s="61"/>
      <c r="J891" s="61"/>
      <c r="K891" s="61"/>
      <c r="L891" s="61"/>
    </row>
    <row r="892">
      <c r="D892" s="69"/>
      <c r="I892" s="61"/>
      <c r="J892" s="61"/>
      <c r="K892" s="61"/>
      <c r="L892" s="61"/>
    </row>
    <row r="893">
      <c r="D893" s="69"/>
      <c r="I893" s="61"/>
      <c r="J893" s="61"/>
      <c r="K893" s="61"/>
      <c r="L893" s="61"/>
    </row>
    <row r="894">
      <c r="D894" s="69"/>
      <c r="I894" s="61"/>
      <c r="J894" s="61"/>
      <c r="K894" s="61"/>
      <c r="L894" s="61"/>
    </row>
    <row r="895">
      <c r="D895" s="69"/>
      <c r="I895" s="61"/>
      <c r="J895" s="61"/>
      <c r="K895" s="61"/>
      <c r="L895" s="61"/>
    </row>
    <row r="896">
      <c r="D896" s="69"/>
      <c r="I896" s="61"/>
      <c r="J896" s="61"/>
      <c r="K896" s="61"/>
      <c r="L896" s="61"/>
    </row>
    <row r="897">
      <c r="D897" s="69"/>
      <c r="I897" s="61"/>
      <c r="J897" s="61"/>
      <c r="K897" s="61"/>
      <c r="L897" s="61"/>
    </row>
    <row r="898">
      <c r="D898" s="69"/>
      <c r="I898" s="61"/>
      <c r="J898" s="61"/>
      <c r="K898" s="61"/>
      <c r="L898" s="61"/>
    </row>
    <row r="899">
      <c r="D899" s="69"/>
      <c r="I899" s="61"/>
      <c r="J899" s="61"/>
      <c r="K899" s="61"/>
      <c r="L899" s="61"/>
    </row>
    <row r="900">
      <c r="D900" s="69"/>
      <c r="I900" s="61"/>
      <c r="J900" s="61"/>
      <c r="K900" s="61"/>
      <c r="L900" s="61"/>
    </row>
    <row r="901">
      <c r="D901" s="69"/>
      <c r="I901" s="61"/>
      <c r="J901" s="61"/>
      <c r="K901" s="61"/>
      <c r="L901" s="61"/>
    </row>
    <row r="902">
      <c r="D902" s="69"/>
      <c r="I902" s="61"/>
      <c r="J902" s="61"/>
      <c r="K902" s="61"/>
      <c r="L902" s="61"/>
    </row>
    <row r="903">
      <c r="D903" s="69"/>
      <c r="I903" s="61"/>
      <c r="J903" s="61"/>
      <c r="K903" s="61"/>
      <c r="L903" s="61"/>
    </row>
    <row r="904">
      <c r="D904" s="69"/>
      <c r="I904" s="61"/>
      <c r="J904" s="61"/>
      <c r="K904" s="61"/>
      <c r="L904" s="61"/>
    </row>
    <row r="905">
      <c r="D905" s="69"/>
      <c r="I905" s="61"/>
      <c r="J905" s="61"/>
      <c r="K905" s="61"/>
      <c r="L905" s="61"/>
    </row>
    <row r="906">
      <c r="D906" s="69"/>
      <c r="I906" s="61"/>
      <c r="J906" s="61"/>
      <c r="K906" s="61"/>
      <c r="L906" s="61"/>
    </row>
    <row r="907">
      <c r="D907" s="69"/>
      <c r="I907" s="61"/>
      <c r="J907" s="61"/>
      <c r="K907" s="61"/>
      <c r="L907" s="61"/>
    </row>
    <row r="908">
      <c r="D908" s="69"/>
      <c r="I908" s="61"/>
      <c r="J908" s="61"/>
      <c r="K908" s="61"/>
      <c r="L908" s="61"/>
    </row>
    <row r="909">
      <c r="D909" s="69"/>
      <c r="I909" s="61"/>
      <c r="J909" s="61"/>
      <c r="K909" s="61"/>
      <c r="L909" s="61"/>
    </row>
    <row r="910">
      <c r="D910" s="69"/>
      <c r="I910" s="61"/>
      <c r="J910" s="61"/>
      <c r="K910" s="61"/>
      <c r="L910" s="61"/>
    </row>
    <row r="911">
      <c r="D911" s="69"/>
      <c r="I911" s="61"/>
      <c r="J911" s="61"/>
      <c r="K911" s="61"/>
      <c r="L911" s="61"/>
    </row>
    <row r="912">
      <c r="D912" s="69"/>
      <c r="I912" s="61"/>
      <c r="J912" s="61"/>
      <c r="K912" s="61"/>
      <c r="L912" s="61"/>
    </row>
    <row r="913">
      <c r="D913" s="69"/>
      <c r="I913" s="61"/>
      <c r="J913" s="61"/>
      <c r="K913" s="61"/>
      <c r="L913" s="61"/>
    </row>
    <row r="914">
      <c r="D914" s="69"/>
      <c r="I914" s="61"/>
      <c r="J914" s="61"/>
      <c r="K914" s="61"/>
      <c r="L914" s="61"/>
    </row>
    <row r="915">
      <c r="D915" s="69"/>
      <c r="I915" s="61"/>
      <c r="J915" s="61"/>
      <c r="K915" s="61"/>
      <c r="L915" s="61"/>
    </row>
    <row r="916">
      <c r="D916" s="69"/>
      <c r="I916" s="61"/>
      <c r="J916" s="61"/>
      <c r="K916" s="61"/>
      <c r="L916" s="61"/>
    </row>
    <row r="917">
      <c r="D917" s="69"/>
      <c r="I917" s="61"/>
      <c r="J917" s="61"/>
      <c r="K917" s="61"/>
      <c r="L917" s="61"/>
    </row>
    <row r="918">
      <c r="D918" s="69"/>
      <c r="I918" s="61"/>
      <c r="J918" s="61"/>
      <c r="K918" s="61"/>
      <c r="L918" s="61"/>
    </row>
    <row r="919">
      <c r="D919" s="69"/>
      <c r="I919" s="61"/>
      <c r="J919" s="61"/>
      <c r="K919" s="61"/>
      <c r="L919" s="61"/>
    </row>
    <row r="920">
      <c r="D920" s="69"/>
      <c r="I920" s="61"/>
      <c r="J920" s="61"/>
      <c r="K920" s="61"/>
      <c r="L920" s="61"/>
    </row>
    <row r="921">
      <c r="D921" s="69"/>
      <c r="I921" s="61"/>
      <c r="J921" s="61"/>
      <c r="K921" s="61"/>
      <c r="L921" s="61"/>
    </row>
    <row r="922">
      <c r="D922" s="69"/>
      <c r="I922" s="61"/>
      <c r="J922" s="61"/>
      <c r="K922" s="61"/>
      <c r="L922" s="61"/>
    </row>
    <row r="923">
      <c r="D923" s="69"/>
      <c r="I923" s="61"/>
      <c r="J923" s="61"/>
      <c r="K923" s="61"/>
      <c r="L923" s="61"/>
    </row>
    <row r="924">
      <c r="D924" s="69"/>
      <c r="I924" s="61"/>
      <c r="J924" s="61"/>
      <c r="K924" s="61"/>
      <c r="L924" s="61"/>
    </row>
    <row r="925">
      <c r="D925" s="69"/>
      <c r="I925" s="61"/>
      <c r="J925" s="61"/>
      <c r="K925" s="61"/>
      <c r="L925" s="61"/>
    </row>
    <row r="926">
      <c r="D926" s="69"/>
      <c r="I926" s="61"/>
      <c r="J926" s="61"/>
      <c r="K926" s="61"/>
      <c r="L926" s="61"/>
    </row>
    <row r="927">
      <c r="D927" s="69"/>
      <c r="I927" s="61"/>
      <c r="J927" s="61"/>
      <c r="K927" s="61"/>
      <c r="L927" s="61"/>
    </row>
    <row r="928">
      <c r="D928" s="69"/>
      <c r="I928" s="61"/>
      <c r="J928" s="61"/>
      <c r="K928" s="61"/>
      <c r="L928" s="61"/>
    </row>
    <row r="929">
      <c r="D929" s="69"/>
      <c r="I929" s="61"/>
      <c r="J929" s="61"/>
      <c r="K929" s="61"/>
      <c r="L929" s="61"/>
    </row>
    <row r="930">
      <c r="D930" s="69"/>
      <c r="I930" s="61"/>
      <c r="J930" s="61"/>
      <c r="K930" s="61"/>
      <c r="L930" s="61"/>
    </row>
    <row r="931">
      <c r="D931" s="69"/>
      <c r="I931" s="61"/>
      <c r="J931" s="61"/>
      <c r="K931" s="61"/>
      <c r="L931" s="61"/>
    </row>
    <row r="932">
      <c r="D932" s="69"/>
      <c r="I932" s="61"/>
      <c r="J932" s="61"/>
      <c r="K932" s="61"/>
      <c r="L932" s="61"/>
    </row>
    <row r="933">
      <c r="D933" s="69"/>
      <c r="I933" s="61"/>
      <c r="J933" s="61"/>
      <c r="K933" s="61"/>
      <c r="L933" s="61"/>
    </row>
    <row r="934">
      <c r="D934" s="69"/>
      <c r="I934" s="61"/>
      <c r="J934" s="61"/>
      <c r="K934" s="61"/>
      <c r="L934" s="61"/>
    </row>
    <row r="935">
      <c r="D935" s="69"/>
      <c r="I935" s="61"/>
      <c r="J935" s="61"/>
      <c r="K935" s="61"/>
      <c r="L935" s="61"/>
    </row>
    <row r="936">
      <c r="D936" s="69"/>
      <c r="I936" s="61"/>
      <c r="J936" s="61"/>
      <c r="K936" s="61"/>
      <c r="L936" s="61"/>
    </row>
    <row r="937">
      <c r="D937" s="69"/>
      <c r="I937" s="61"/>
      <c r="J937" s="61"/>
      <c r="K937" s="61"/>
      <c r="L937" s="61"/>
    </row>
    <row r="938">
      <c r="D938" s="69"/>
      <c r="I938" s="61"/>
      <c r="J938" s="61"/>
      <c r="K938" s="61"/>
      <c r="L938" s="61"/>
    </row>
    <row r="939">
      <c r="D939" s="69"/>
      <c r="I939" s="61"/>
      <c r="J939" s="61"/>
      <c r="K939" s="61"/>
      <c r="L939" s="61"/>
    </row>
    <row r="940">
      <c r="D940" s="69"/>
      <c r="I940" s="61"/>
      <c r="J940" s="61"/>
      <c r="K940" s="61"/>
      <c r="L940" s="61"/>
    </row>
    <row r="941">
      <c r="D941" s="69"/>
      <c r="I941" s="61"/>
      <c r="J941" s="61"/>
      <c r="K941" s="61"/>
      <c r="L941" s="61"/>
    </row>
    <row r="942">
      <c r="D942" s="69"/>
      <c r="I942" s="61"/>
      <c r="J942" s="61"/>
      <c r="K942" s="61"/>
      <c r="L942" s="61"/>
    </row>
    <row r="943">
      <c r="D943" s="69"/>
      <c r="I943" s="61"/>
      <c r="J943" s="61"/>
      <c r="K943" s="61"/>
      <c r="L943" s="61"/>
    </row>
    <row r="944">
      <c r="D944" s="69"/>
      <c r="I944" s="61"/>
      <c r="J944" s="61"/>
      <c r="K944" s="61"/>
      <c r="L944" s="61"/>
    </row>
    <row r="945">
      <c r="D945" s="69"/>
      <c r="I945" s="61"/>
      <c r="J945" s="61"/>
      <c r="K945" s="61"/>
      <c r="L945" s="61"/>
    </row>
    <row r="946">
      <c r="D946" s="69"/>
      <c r="I946" s="61"/>
      <c r="J946" s="61"/>
      <c r="K946" s="61"/>
      <c r="L946" s="61"/>
    </row>
    <row r="947">
      <c r="D947" s="69"/>
      <c r="I947" s="61"/>
      <c r="J947" s="61"/>
      <c r="K947" s="61"/>
      <c r="L947" s="61"/>
    </row>
    <row r="948">
      <c r="D948" s="69"/>
      <c r="I948" s="61"/>
      <c r="J948" s="61"/>
      <c r="K948" s="61"/>
      <c r="L948" s="61"/>
    </row>
    <row r="949">
      <c r="D949" s="69"/>
      <c r="I949" s="61"/>
      <c r="J949" s="61"/>
      <c r="K949" s="61"/>
      <c r="L949" s="61"/>
    </row>
    <row r="950">
      <c r="D950" s="69"/>
      <c r="I950" s="61"/>
      <c r="J950" s="61"/>
      <c r="K950" s="61"/>
      <c r="L950" s="61"/>
    </row>
    <row r="951">
      <c r="D951" s="69"/>
      <c r="I951" s="61"/>
      <c r="J951" s="61"/>
      <c r="K951" s="61"/>
      <c r="L951" s="61"/>
    </row>
    <row r="952">
      <c r="D952" s="69"/>
      <c r="I952" s="61"/>
      <c r="J952" s="61"/>
      <c r="K952" s="61"/>
      <c r="L952" s="61"/>
    </row>
    <row r="953">
      <c r="D953" s="69"/>
      <c r="I953" s="61"/>
      <c r="J953" s="61"/>
      <c r="K953" s="61"/>
      <c r="L953" s="61"/>
    </row>
    <row r="954">
      <c r="D954" s="69"/>
      <c r="I954" s="61"/>
      <c r="J954" s="61"/>
      <c r="K954" s="61"/>
      <c r="L954" s="61"/>
    </row>
    <row r="955">
      <c r="D955" s="69"/>
      <c r="I955" s="61"/>
      <c r="J955" s="61"/>
      <c r="K955" s="61"/>
      <c r="L955" s="61"/>
    </row>
    <row r="956">
      <c r="D956" s="69"/>
      <c r="I956" s="61"/>
      <c r="J956" s="61"/>
      <c r="K956" s="61"/>
      <c r="L956" s="61"/>
    </row>
    <row r="957">
      <c r="D957" s="69"/>
      <c r="I957" s="61"/>
      <c r="J957" s="61"/>
      <c r="K957" s="61"/>
      <c r="L957" s="61"/>
    </row>
    <row r="958">
      <c r="D958" s="69"/>
      <c r="I958" s="61"/>
      <c r="J958" s="61"/>
      <c r="K958" s="61"/>
      <c r="L958" s="61"/>
    </row>
    <row r="959">
      <c r="D959" s="69"/>
      <c r="I959" s="61"/>
      <c r="J959" s="61"/>
      <c r="K959" s="61"/>
      <c r="L959" s="61"/>
    </row>
    <row r="960">
      <c r="D960" s="69"/>
      <c r="I960" s="61"/>
      <c r="J960" s="61"/>
      <c r="K960" s="61"/>
      <c r="L960" s="61"/>
    </row>
    <row r="961">
      <c r="D961" s="69"/>
      <c r="I961" s="61"/>
      <c r="J961" s="61"/>
      <c r="K961" s="61"/>
      <c r="L961" s="61"/>
    </row>
    <row r="962">
      <c r="D962" s="69"/>
      <c r="I962" s="61"/>
      <c r="J962" s="61"/>
      <c r="K962" s="61"/>
      <c r="L962" s="61"/>
    </row>
    <row r="963">
      <c r="D963" s="69"/>
      <c r="I963" s="61"/>
      <c r="J963" s="61"/>
      <c r="K963" s="61"/>
      <c r="L963" s="61"/>
    </row>
    <row r="964">
      <c r="D964" s="69"/>
      <c r="I964" s="61"/>
      <c r="J964" s="61"/>
      <c r="K964" s="61"/>
      <c r="L964" s="61"/>
    </row>
    <row r="965">
      <c r="D965" s="69"/>
      <c r="I965" s="61"/>
      <c r="J965" s="61"/>
      <c r="K965" s="61"/>
      <c r="L965" s="61"/>
    </row>
    <row r="966">
      <c r="D966" s="69"/>
      <c r="I966" s="61"/>
      <c r="J966" s="61"/>
      <c r="K966" s="61"/>
      <c r="L966" s="61"/>
    </row>
    <row r="967">
      <c r="D967" s="69"/>
      <c r="I967" s="61"/>
      <c r="J967" s="61"/>
      <c r="K967" s="61"/>
      <c r="L967" s="61"/>
    </row>
    <row r="968">
      <c r="D968" s="69"/>
      <c r="I968" s="61"/>
      <c r="J968" s="61"/>
      <c r="K968" s="61"/>
      <c r="L968" s="61"/>
    </row>
    <row r="969">
      <c r="D969" s="69"/>
      <c r="I969" s="61"/>
      <c r="J969" s="61"/>
      <c r="K969" s="61"/>
      <c r="L969" s="61"/>
    </row>
    <row r="970">
      <c r="D970" s="69"/>
      <c r="I970" s="61"/>
      <c r="J970" s="61"/>
      <c r="K970" s="61"/>
      <c r="L970" s="61"/>
    </row>
    <row r="971">
      <c r="D971" s="69"/>
      <c r="I971" s="61"/>
      <c r="J971" s="61"/>
      <c r="K971" s="61"/>
      <c r="L971" s="61"/>
    </row>
    <row r="972">
      <c r="D972" s="69"/>
      <c r="I972" s="61"/>
      <c r="J972" s="61"/>
      <c r="K972" s="61"/>
      <c r="L972" s="61"/>
    </row>
    <row r="973">
      <c r="D973" s="69"/>
      <c r="I973" s="61"/>
      <c r="J973" s="61"/>
      <c r="K973" s="61"/>
      <c r="L973" s="61"/>
    </row>
    <row r="974">
      <c r="D974" s="69"/>
      <c r="I974" s="61"/>
      <c r="J974" s="61"/>
      <c r="K974" s="61"/>
      <c r="L974" s="61"/>
    </row>
    <row r="975">
      <c r="D975" s="69"/>
      <c r="I975" s="61"/>
      <c r="J975" s="61"/>
      <c r="K975" s="61"/>
      <c r="L975" s="61"/>
    </row>
    <row r="976">
      <c r="D976" s="69"/>
      <c r="I976" s="61"/>
      <c r="J976" s="61"/>
      <c r="K976" s="61"/>
      <c r="L976" s="61"/>
    </row>
    <row r="977">
      <c r="D977" s="69"/>
      <c r="I977" s="61"/>
      <c r="J977" s="61"/>
      <c r="K977" s="61"/>
      <c r="L977" s="61"/>
    </row>
    <row r="978">
      <c r="D978" s="69"/>
      <c r="I978" s="61"/>
      <c r="J978" s="61"/>
      <c r="K978" s="61"/>
      <c r="L978" s="61"/>
    </row>
    <row r="979">
      <c r="D979" s="69"/>
      <c r="I979" s="61"/>
      <c r="J979" s="61"/>
      <c r="K979" s="61"/>
      <c r="L979" s="61"/>
    </row>
    <row r="980">
      <c r="D980" s="69"/>
      <c r="I980" s="61"/>
      <c r="J980" s="61"/>
      <c r="K980" s="61"/>
      <c r="L980" s="61"/>
    </row>
    <row r="981">
      <c r="D981" s="69"/>
      <c r="I981" s="61"/>
      <c r="J981" s="61"/>
      <c r="K981" s="61"/>
      <c r="L981" s="61"/>
    </row>
    <row r="982">
      <c r="D982" s="69"/>
      <c r="I982" s="61"/>
      <c r="J982" s="61"/>
      <c r="K982" s="61"/>
      <c r="L982" s="61"/>
    </row>
    <row r="983">
      <c r="D983" s="69"/>
      <c r="I983" s="61"/>
      <c r="J983" s="61"/>
      <c r="K983" s="61"/>
      <c r="L983" s="61"/>
    </row>
    <row r="984">
      <c r="D984" s="69"/>
      <c r="I984" s="61"/>
      <c r="J984" s="61"/>
      <c r="K984" s="61"/>
      <c r="L984" s="61"/>
    </row>
    <row r="985">
      <c r="D985" s="69"/>
      <c r="I985" s="61"/>
      <c r="J985" s="61"/>
      <c r="K985" s="61"/>
      <c r="L985" s="61"/>
    </row>
    <row r="986">
      <c r="D986" s="69"/>
      <c r="I986" s="61"/>
      <c r="J986" s="61"/>
      <c r="K986" s="61"/>
      <c r="L986" s="61"/>
    </row>
    <row r="987">
      <c r="D987" s="69"/>
      <c r="I987" s="61"/>
      <c r="J987" s="61"/>
      <c r="K987" s="61"/>
      <c r="L987" s="61"/>
    </row>
    <row r="988">
      <c r="D988" s="69"/>
      <c r="I988" s="61"/>
      <c r="J988" s="61"/>
      <c r="K988" s="61"/>
      <c r="L988" s="61"/>
    </row>
    <row r="989">
      <c r="D989" s="69"/>
      <c r="I989" s="61"/>
      <c r="J989" s="61"/>
      <c r="K989" s="61"/>
      <c r="L989" s="61"/>
    </row>
    <row r="990">
      <c r="D990" s="69"/>
      <c r="I990" s="61"/>
      <c r="J990" s="61"/>
      <c r="K990" s="61"/>
      <c r="L990" s="61"/>
    </row>
    <row r="991">
      <c r="D991" s="69"/>
      <c r="I991" s="61"/>
      <c r="J991" s="61"/>
      <c r="K991" s="61"/>
      <c r="L991" s="61"/>
    </row>
    <row r="992">
      <c r="D992" s="69"/>
      <c r="I992" s="61"/>
      <c r="J992" s="61"/>
      <c r="K992" s="61"/>
      <c r="L992" s="61"/>
    </row>
  </sheetData>
  <conditionalFormatting sqref="D1:D22 I24 K24 D25:D84 D88:D188 I130:J137 K137 I155:K155 I189:K189 D190:D239 I192:K194 D241:D992">
    <cfRule type="notContainsBlanks" dxfId="6" priority="1">
      <formula>LEN(TRIM(D1))&gt;0</formula>
    </cfRule>
  </conditionalFormatting>
  <conditionalFormatting sqref="Z1:Z992">
    <cfRule type="cellIs" dxfId="7" priority="2" operator="lessThanOrEqual">
      <formula>0</formula>
    </cfRule>
  </conditionalFormatting>
  <conditionalFormatting sqref="Z1:Z992">
    <cfRule type="cellIs" dxfId="8" priority="3" operator="lessThanOrEqual">
      <formula>7</formula>
    </cfRule>
  </conditionalFormatting>
  <conditionalFormatting sqref="Z1:Z992">
    <cfRule type="cellIs" dxfId="9" priority="4" operator="greaterThanOrEqual">
      <formula>8</formula>
    </cfRule>
  </conditionalFormatting>
  <conditionalFormatting sqref="X1:X992">
    <cfRule type="cellIs" dxfId="10" priority="5" operator="equal">
      <formula>"1 year"</formula>
    </cfRule>
  </conditionalFormatting>
  <conditionalFormatting sqref="X1:X992">
    <cfRule type="cellIs" dxfId="11" priority="6" operator="equal">
      <formula>"6 month"</formula>
    </cfRule>
  </conditionalFormatting>
  <conditionalFormatting sqref="X1:X992">
    <cfRule type="cellIs" dxfId="12" priority="7" operator="equal">
      <formula>"1 month"</formula>
    </cfRule>
  </conditionalFormatting>
  <conditionalFormatting sqref="X1:X992">
    <cfRule type="cellIs" dxfId="13" priority="8" operator="equal">
      <formula>"2 month"</formula>
    </cfRule>
  </conditionalFormatting>
  <conditionalFormatting sqref="X1:X992">
    <cfRule type="cellIs" dxfId="14" priority="9" operator="equal">
      <formula>"3 month"</formula>
    </cfRule>
  </conditionalFormatting>
  <conditionalFormatting sqref="X1:X992">
    <cfRule type="cellIs" dxfId="15" priority="10" operator="equal">
      <formula>"1 ncell"</formula>
    </cfRule>
  </conditionalFormatting>
  <conditionalFormatting sqref="X1:X992">
    <cfRule type="cellIs" dxfId="16" priority="11" operator="equal">
      <formula>"6 ncell"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3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56" t="s">
        <v>1922</v>
      </c>
      <c r="B1" s="56" t="s">
        <v>1923</v>
      </c>
    </row>
    <row r="2">
      <c r="A2" s="56" t="s">
        <v>1924</v>
      </c>
      <c r="B2" s="56" t="s">
        <v>1925</v>
      </c>
    </row>
    <row r="3">
      <c r="A3" s="56" t="s">
        <v>1926</v>
      </c>
      <c r="B3" s="56" t="s">
        <v>1927</v>
      </c>
    </row>
    <row r="4">
      <c r="A4" s="56" t="s">
        <v>1928</v>
      </c>
      <c r="B4" s="56" t="s">
        <v>1929</v>
      </c>
    </row>
    <row r="5">
      <c r="A5" s="56" t="s">
        <v>1930</v>
      </c>
      <c r="B5" s="56" t="s">
        <v>1931</v>
      </c>
    </row>
    <row r="6">
      <c r="A6" s="56" t="s">
        <v>1932</v>
      </c>
      <c r="B6" s="56">
        <v>9.4851181E7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0.0"/>
    <col customWidth="1" min="6" max="6" width="19.88"/>
    <col customWidth="1" min="7" max="8" width="14.38"/>
  </cols>
  <sheetData>
    <row r="1" ht="22.5" customHeight="1">
      <c r="A1" s="82" t="s">
        <v>1933</v>
      </c>
      <c r="B1" s="83" t="s">
        <v>1934</v>
      </c>
      <c r="C1" s="83" t="s">
        <v>38</v>
      </c>
      <c r="D1" s="83" t="s">
        <v>1935</v>
      </c>
      <c r="E1" s="83" t="s">
        <v>1936</v>
      </c>
      <c r="F1" s="83" t="s">
        <v>1937</v>
      </c>
      <c r="G1" s="84" t="s">
        <v>1938</v>
      </c>
      <c r="H1" s="83" t="s">
        <v>1939</v>
      </c>
    </row>
    <row r="2" ht="22.5" customHeight="1">
      <c r="A2" s="11">
        <v>1.0</v>
      </c>
      <c r="B2" s="13" t="s">
        <v>726</v>
      </c>
      <c r="C2" s="13">
        <v>9.760845061E9</v>
      </c>
      <c r="D2" s="11">
        <v>3.0131133E7</v>
      </c>
      <c r="E2" s="11">
        <v>2.0018149E7</v>
      </c>
      <c r="F2" s="13" t="s">
        <v>1940</v>
      </c>
    </row>
    <row r="3" ht="22.5" customHeight="1">
      <c r="A3" s="11">
        <v>2.0</v>
      </c>
      <c r="B3" s="13" t="s">
        <v>271</v>
      </c>
      <c r="C3" s="13">
        <v>9.760837612E9</v>
      </c>
      <c r="D3" s="11">
        <v>2.1119136E7</v>
      </c>
      <c r="E3" s="11">
        <v>2.0468184E7</v>
      </c>
      <c r="F3" s="13" t="s">
        <v>1941</v>
      </c>
      <c r="G3" s="26"/>
      <c r="H3" s="26">
        <v>46069.0</v>
      </c>
    </row>
    <row r="4" ht="22.5" customHeight="1">
      <c r="A4" s="11">
        <v>3.0</v>
      </c>
      <c r="B4" s="13" t="s">
        <v>1942</v>
      </c>
      <c r="C4" s="13">
        <v>9.760843135E9</v>
      </c>
      <c r="D4" s="11">
        <v>1.444015E7</v>
      </c>
      <c r="E4" s="11">
        <v>8.8024983E7</v>
      </c>
      <c r="F4" s="13" t="s">
        <v>1943</v>
      </c>
      <c r="G4" s="26"/>
      <c r="H4" s="26">
        <v>46152.0</v>
      </c>
    </row>
    <row r="5" ht="22.5" customHeight="1">
      <c r="A5" s="11">
        <v>4.0</v>
      </c>
      <c r="B5" s="13" t="s">
        <v>1944</v>
      </c>
      <c r="C5" s="13">
        <v>9.760844363E9</v>
      </c>
      <c r="D5" s="11">
        <v>2.4882164E7</v>
      </c>
      <c r="E5" s="11">
        <v>2.2579168E7</v>
      </c>
      <c r="F5" s="13" t="s">
        <v>1945</v>
      </c>
      <c r="G5" s="26"/>
      <c r="H5" s="26">
        <v>46102.0</v>
      </c>
      <c r="I5" s="68">
        <f>H5-90</f>
        <v>46012</v>
      </c>
    </row>
    <row r="6" ht="22.5" customHeight="1">
      <c r="A6" s="11">
        <v>5.0</v>
      </c>
      <c r="B6" s="13" t="s">
        <v>266</v>
      </c>
      <c r="C6" s="13">
        <v>9.760838532E9</v>
      </c>
      <c r="D6" s="11">
        <v>2.8234351E7</v>
      </c>
      <c r="E6" s="11">
        <v>2.6391366E7</v>
      </c>
      <c r="F6" s="13" t="s">
        <v>267</v>
      </c>
      <c r="G6" s="26"/>
      <c r="H6" s="26">
        <v>46055.0</v>
      </c>
    </row>
    <row r="7" ht="22.5" customHeight="1">
      <c r="A7" s="11">
        <v>6.0</v>
      </c>
      <c r="B7" s="13" t="s">
        <v>1946</v>
      </c>
      <c r="C7" s="13">
        <v>9.76083097E9</v>
      </c>
      <c r="D7" s="11">
        <v>8.5071268E7</v>
      </c>
      <c r="E7" s="11">
        <v>1.0209176E7</v>
      </c>
    </row>
    <row r="8" ht="22.5" customHeight="1">
      <c r="A8" s="11">
        <v>7.0</v>
      </c>
      <c r="B8" s="13" t="s">
        <v>1947</v>
      </c>
      <c r="C8" s="13">
        <v>9.760845023E9</v>
      </c>
      <c r="D8" s="11">
        <v>1.0406904E7</v>
      </c>
      <c r="E8" s="11">
        <v>1.0949155E7</v>
      </c>
    </row>
    <row r="9" ht="22.5" customHeight="1">
      <c r="A9" s="11">
        <v>8.0</v>
      </c>
      <c r="B9" s="13" t="s">
        <v>1948</v>
      </c>
      <c r="C9" s="13">
        <v>9.760843597E9</v>
      </c>
      <c r="D9" s="11">
        <v>9.8312279E7</v>
      </c>
      <c r="E9" s="11">
        <v>3.0654131E7</v>
      </c>
    </row>
    <row r="10" ht="22.5" customHeight="1">
      <c r="A10" s="11">
        <v>9.0</v>
      </c>
      <c r="B10" s="13" t="s">
        <v>1808</v>
      </c>
      <c r="C10" s="13">
        <v>9.760839443E9</v>
      </c>
      <c r="D10" s="11">
        <v>1.1906309E7</v>
      </c>
      <c r="E10" s="11">
        <v>2.1292213E7</v>
      </c>
    </row>
    <row r="11" ht="22.5" customHeight="1">
      <c r="A11" s="11">
        <v>10.0</v>
      </c>
      <c r="B11" s="13" t="s">
        <v>1865</v>
      </c>
      <c r="D11" s="11">
        <v>6.7413112E7</v>
      </c>
      <c r="E11" s="11">
        <v>2.7653165E7</v>
      </c>
    </row>
    <row r="12" ht="22.5" customHeight="1">
      <c r="A12" s="11">
        <v>11.0</v>
      </c>
      <c r="B12" s="13" t="s">
        <v>799</v>
      </c>
      <c r="D12" s="11">
        <v>2.5538284E7</v>
      </c>
      <c r="E12" s="11">
        <v>1.4106295E7</v>
      </c>
    </row>
    <row r="13" ht="22.5" customHeight="1">
      <c r="A13" s="11">
        <v>12.0</v>
      </c>
      <c r="B13" s="13" t="s">
        <v>1949</v>
      </c>
      <c r="D13" s="11">
        <v>6.8618665E7</v>
      </c>
      <c r="E13" s="11">
        <v>3.2553185E7</v>
      </c>
    </row>
    <row r="14" ht="22.5" customHeight="1">
      <c r="A14" s="11">
        <v>13.0</v>
      </c>
      <c r="B14" s="13" t="s">
        <v>1950</v>
      </c>
      <c r="D14" s="11">
        <v>1.9745129E7</v>
      </c>
      <c r="E14" s="11">
        <v>3.1174109E7</v>
      </c>
    </row>
    <row r="15" ht="22.5" customHeight="1">
      <c r="A15" s="11">
        <v>14.0</v>
      </c>
      <c r="B15" s="13" t="s">
        <v>1873</v>
      </c>
      <c r="D15" s="11">
        <v>2.9503202E7</v>
      </c>
      <c r="E15" s="11">
        <v>3.2081565E7</v>
      </c>
    </row>
    <row r="16" ht="22.5" customHeight="1">
      <c r="A16" s="11">
        <v>15.0</v>
      </c>
      <c r="B16" s="13" t="s">
        <v>1951</v>
      </c>
      <c r="D16" s="11">
        <v>2.9389117E7</v>
      </c>
      <c r="E16" s="11">
        <v>5.2921381E7</v>
      </c>
    </row>
    <row r="17" ht="22.5" customHeight="1">
      <c r="A17" s="11">
        <v>16.0</v>
      </c>
      <c r="B17" s="13" t="s">
        <v>1883</v>
      </c>
      <c r="C17" s="13">
        <v>9.760844933E9</v>
      </c>
      <c r="D17" s="11">
        <v>1.409017E7</v>
      </c>
      <c r="E17" s="11">
        <v>1.7703248E7</v>
      </c>
      <c r="F17" s="13" t="s">
        <v>447</v>
      </c>
      <c r="G17" s="13">
        <v>975.0</v>
      </c>
      <c r="H17" s="26">
        <v>46076.0</v>
      </c>
    </row>
    <row r="18" ht="22.5" customHeight="1">
      <c r="A18" s="11">
        <v>17.0</v>
      </c>
      <c r="B18" s="13" t="s">
        <v>86</v>
      </c>
      <c r="D18" s="11">
        <v>2.1032281E7</v>
      </c>
      <c r="E18" s="11">
        <v>2.1485127E7</v>
      </c>
    </row>
    <row r="19" ht="22.5" customHeight="1">
      <c r="A19" s="11">
        <v>18.0</v>
      </c>
      <c r="B19" s="13" t="s">
        <v>1952</v>
      </c>
      <c r="D19" s="11">
        <v>2.9485144E7</v>
      </c>
      <c r="E19" s="11">
        <v>2.475211E7</v>
      </c>
    </row>
    <row r="20" ht="22.5" customHeight="1">
      <c r="A20" s="11">
        <v>19.0</v>
      </c>
      <c r="B20" s="13" t="s">
        <v>1896</v>
      </c>
      <c r="C20" s="21">
        <v>9.760845042E9</v>
      </c>
      <c r="D20" s="11">
        <v>1.5867234E7</v>
      </c>
      <c r="E20" s="11">
        <v>1.8525272E7</v>
      </c>
    </row>
    <row r="21" ht="22.5" customHeight="1">
      <c r="A21" s="11">
        <v>20.0</v>
      </c>
      <c r="B21" s="13" t="s">
        <v>385</v>
      </c>
      <c r="D21" s="11">
        <v>2.0896271E7</v>
      </c>
      <c r="E21" s="11">
        <v>1.3832142E7</v>
      </c>
    </row>
    <row r="22" ht="22.5" customHeight="1">
      <c r="A22" s="11">
        <v>21.0</v>
      </c>
      <c r="B22" s="13" t="s">
        <v>1953</v>
      </c>
      <c r="C22" s="13" t="s">
        <v>1954</v>
      </c>
      <c r="D22" s="11">
        <v>4.7593016E7</v>
      </c>
      <c r="E22" s="11">
        <v>2.8595564E7</v>
      </c>
      <c r="F22" s="13" t="s">
        <v>1817</v>
      </c>
      <c r="G22" s="26">
        <v>46026.0</v>
      </c>
      <c r="H22" s="26">
        <v>46176.0</v>
      </c>
    </row>
    <row r="23" ht="22.5" customHeight="1">
      <c r="A23" s="11">
        <v>22.0</v>
      </c>
      <c r="B23" s="13" t="s">
        <v>239</v>
      </c>
      <c r="C23" s="13">
        <v>9.760844892E9</v>
      </c>
      <c r="D23" s="11">
        <v>1.13931E7</v>
      </c>
      <c r="E23" s="11">
        <v>4.66212E7</v>
      </c>
      <c r="F23" s="13" t="s">
        <v>1955</v>
      </c>
    </row>
    <row r="24" ht="22.5" customHeight="1">
      <c r="A24" s="11">
        <v>23.0</v>
      </c>
      <c r="B24" s="13" t="s">
        <v>401</v>
      </c>
      <c r="D24" s="11">
        <v>3.1164303E7</v>
      </c>
      <c r="E24" s="11">
        <v>1.8925133E7</v>
      </c>
    </row>
    <row r="25" ht="22.5" customHeight="1">
      <c r="A25" s="11">
        <v>24.0</v>
      </c>
      <c r="B25" s="13" t="s">
        <v>1834</v>
      </c>
      <c r="D25" s="11">
        <v>2.9649203E7</v>
      </c>
      <c r="E25" s="11">
        <v>7.4601111E7</v>
      </c>
    </row>
    <row r="26" ht="22.5" customHeight="1">
      <c r="A26" s="11">
        <v>25.0</v>
      </c>
      <c r="B26" s="13" t="s">
        <v>1826</v>
      </c>
      <c r="D26" s="11">
        <v>1.6777132E7</v>
      </c>
      <c r="E26" s="11">
        <v>2.338422E7</v>
      </c>
    </row>
    <row r="27" ht="22.5" customHeight="1">
      <c r="A27" s="11">
        <v>26.0</v>
      </c>
      <c r="B27" s="13" t="s">
        <v>1845</v>
      </c>
      <c r="D27" s="11">
        <v>1.9379929E7</v>
      </c>
      <c r="E27" s="11">
        <v>2.5986174E7</v>
      </c>
    </row>
    <row r="28" ht="22.5" customHeight="1">
      <c r="A28" s="11">
        <v>27.0</v>
      </c>
      <c r="B28" s="13" t="s">
        <v>1956</v>
      </c>
      <c r="D28" s="11">
        <v>1.2775107E7</v>
      </c>
      <c r="E28" s="11">
        <v>2.7020492E7</v>
      </c>
    </row>
    <row r="29" ht="22.5" customHeight="1">
      <c r="A29" s="11">
        <v>28.0</v>
      </c>
      <c r="B29" s="13" t="s">
        <v>1957</v>
      </c>
      <c r="D29" s="11">
        <v>2.6962201E7</v>
      </c>
      <c r="E29" s="11">
        <v>4.7844568E7</v>
      </c>
    </row>
    <row r="30" ht="22.5" customHeight="1">
      <c r="A30" s="11">
        <v>29.0</v>
      </c>
      <c r="B30" s="13" t="s">
        <v>990</v>
      </c>
      <c r="D30" s="11">
        <v>1.539431E7</v>
      </c>
      <c r="E30" s="11">
        <v>1.5913602E7</v>
      </c>
    </row>
    <row r="31" ht="22.5" customHeight="1">
      <c r="A31" s="11">
        <v>30.0</v>
      </c>
      <c r="B31" s="13" t="s">
        <v>49</v>
      </c>
      <c r="D31" s="11">
        <v>9.4123078E7</v>
      </c>
      <c r="E31" s="11">
        <v>7.9731492E7</v>
      </c>
    </row>
    <row r="32" ht="22.5" customHeight="1">
      <c r="A32" s="11">
        <v>31.0</v>
      </c>
      <c r="B32" s="13" t="s">
        <v>1655</v>
      </c>
      <c r="D32" s="11">
        <v>2.3874263E7</v>
      </c>
      <c r="E32" s="11">
        <v>1.1017129E7</v>
      </c>
    </row>
    <row r="33" ht="22.5" customHeight="1">
      <c r="A33" s="11">
        <v>32.0</v>
      </c>
      <c r="B33" s="13" t="s">
        <v>1958</v>
      </c>
      <c r="D33" s="11">
        <v>5.9193055E7</v>
      </c>
      <c r="E33" s="11">
        <v>1.0753123E7</v>
      </c>
    </row>
    <row r="34" ht="22.5" customHeight="1">
      <c r="A34" s="11">
        <v>33.0</v>
      </c>
      <c r="B34" s="13" t="s">
        <v>941</v>
      </c>
      <c r="D34" s="11">
        <v>1.9241788E7</v>
      </c>
      <c r="E34" s="11">
        <v>1.7664223E7</v>
      </c>
    </row>
    <row r="35" ht="22.5" customHeight="1">
      <c r="A35" s="11">
        <v>34.0</v>
      </c>
      <c r="B35" s="13" t="s">
        <v>1959</v>
      </c>
      <c r="D35" s="11">
        <v>1.8366127E7</v>
      </c>
      <c r="E35" s="11">
        <v>1.7921631E7</v>
      </c>
    </row>
    <row r="36" ht="22.5" customHeight="1">
      <c r="A36" s="11">
        <v>35.0</v>
      </c>
      <c r="B36" s="13" t="s">
        <v>506</v>
      </c>
      <c r="D36" s="11">
        <v>8.9092688E7</v>
      </c>
      <c r="E36" s="11">
        <v>2.2712223E7</v>
      </c>
    </row>
    <row r="37" ht="22.5" customHeight="1">
      <c r="A37" s="11">
        <v>36.0</v>
      </c>
      <c r="B37" s="13" t="s">
        <v>1960</v>
      </c>
      <c r="D37" s="11">
        <v>4.7121289E7</v>
      </c>
      <c r="E37" s="11">
        <v>8.8872795E7</v>
      </c>
    </row>
    <row r="38" ht="22.5" customHeight="1">
      <c r="A38" s="11">
        <v>37.0</v>
      </c>
      <c r="B38" s="13" t="s">
        <v>1961</v>
      </c>
      <c r="D38" s="11">
        <v>3.0345137E7</v>
      </c>
      <c r="E38" s="11">
        <v>2.3266197E7</v>
      </c>
    </row>
    <row r="39" ht="22.5" customHeight="1">
      <c r="A39" s="11">
        <v>38.0</v>
      </c>
      <c r="B39" s="13" t="s">
        <v>1621</v>
      </c>
      <c r="D39" s="11">
        <v>4.9532616E7</v>
      </c>
      <c r="E39" s="11">
        <v>1.6306221E7</v>
      </c>
    </row>
    <row r="40" ht="22.5" customHeight="1">
      <c r="A40" s="11">
        <v>39.0</v>
      </c>
      <c r="B40" s="13" t="s">
        <v>586</v>
      </c>
      <c r="D40" s="11">
        <v>8.9441323E7</v>
      </c>
      <c r="E40" s="11">
        <v>1.1912278E7</v>
      </c>
    </row>
    <row r="41" ht="22.5" customHeight="1">
      <c r="A41" s="11">
        <v>40.0</v>
      </c>
      <c r="B41" s="13" t="s">
        <v>1887</v>
      </c>
      <c r="C41" s="13">
        <v>9.760845166E9</v>
      </c>
      <c r="D41" s="11">
        <v>1.6042182E7</v>
      </c>
      <c r="E41" s="11">
        <v>2.2019319E7</v>
      </c>
      <c r="F41" s="13" t="s">
        <v>1962</v>
      </c>
      <c r="G41" s="13">
        <v>976.0</v>
      </c>
      <c r="H41" s="26">
        <v>46076.0</v>
      </c>
    </row>
    <row r="42" ht="22.5" customHeight="1">
      <c r="A42" s="17"/>
      <c r="B42" s="13" t="s">
        <v>1963</v>
      </c>
      <c r="C42" s="13">
        <v>9.760834983E9</v>
      </c>
      <c r="D42" s="17">
        <v>2.3147132E7</v>
      </c>
      <c r="E42" s="17"/>
      <c r="F42" s="8"/>
      <c r="G42" s="8"/>
      <c r="H42" s="7"/>
    </row>
  </sheetData>
  <dataValidations>
    <dataValidation type="custom" allowBlank="1" showDropDown="1" sqref="A2:A42 D2:E4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0.0"/>
    <col customWidth="1" min="8" max="8" width="19.88"/>
    <col customWidth="1" min="9" max="10" width="14.38"/>
  </cols>
  <sheetData>
    <row r="1" ht="22.5" customHeight="1">
      <c r="A1" s="82" t="s">
        <v>1933</v>
      </c>
      <c r="B1" s="83" t="s">
        <v>1934</v>
      </c>
      <c r="C1" s="83" t="s">
        <v>38</v>
      </c>
      <c r="D1" s="84" t="s">
        <v>1964</v>
      </c>
      <c r="E1" s="84" t="s">
        <v>1965</v>
      </c>
      <c r="F1" s="83" t="s">
        <v>1935</v>
      </c>
      <c r="G1" s="83" t="s">
        <v>1936</v>
      </c>
      <c r="H1" s="83" t="s">
        <v>1937</v>
      </c>
      <c r="I1" s="84" t="s">
        <v>1938</v>
      </c>
      <c r="J1" s="83" t="s">
        <v>1939</v>
      </c>
    </row>
    <row r="2" ht="22.5" customHeight="1">
      <c r="A2" s="11">
        <v>1.0</v>
      </c>
      <c r="B2" s="13" t="s">
        <v>1966</v>
      </c>
      <c r="C2" s="13">
        <v>9.7120065E9</v>
      </c>
      <c r="D2" s="11">
        <v>8564.0</v>
      </c>
      <c r="E2" s="11">
        <v>6884.0</v>
      </c>
      <c r="F2" s="11">
        <v>2.8085446E7</v>
      </c>
      <c r="G2" s="11">
        <v>8.3260621E7</v>
      </c>
      <c r="H2" s="13" t="s">
        <v>447</v>
      </c>
      <c r="I2" s="13">
        <v>3661.0</v>
      </c>
      <c r="J2" s="26">
        <v>46070.0</v>
      </c>
    </row>
    <row r="3" ht="22.5" customHeight="1">
      <c r="A3" s="11">
        <v>2.0</v>
      </c>
      <c r="B3" s="13" t="s">
        <v>1967</v>
      </c>
      <c r="C3" s="13">
        <v>9.712006501E9</v>
      </c>
      <c r="D3" s="11">
        <v>3321.0</v>
      </c>
      <c r="E3" s="11">
        <v>5012.0</v>
      </c>
      <c r="F3" s="11">
        <v>7.7004275E7</v>
      </c>
      <c r="G3" s="11">
        <v>5.3285602E7</v>
      </c>
      <c r="H3" s="13" t="s">
        <v>1968</v>
      </c>
      <c r="I3" s="13">
        <v>750.0</v>
      </c>
      <c r="J3" s="26"/>
    </row>
    <row r="4" ht="22.5" customHeight="1">
      <c r="A4" s="11">
        <v>3.0</v>
      </c>
      <c r="B4" s="13" t="s">
        <v>1468</v>
      </c>
      <c r="C4" s="13">
        <v>9.712006502E9</v>
      </c>
      <c r="D4" s="11">
        <v>4555.0</v>
      </c>
      <c r="E4" s="11">
        <v>8252.0</v>
      </c>
      <c r="F4" s="11">
        <v>7.4532378E7</v>
      </c>
      <c r="G4" s="11">
        <v>4.1616728E7</v>
      </c>
      <c r="H4" s="13" t="s">
        <v>1969</v>
      </c>
      <c r="I4" s="13">
        <v>879.0</v>
      </c>
      <c r="J4" s="26"/>
    </row>
    <row r="5" ht="22.5" customHeight="1">
      <c r="A5" s="11">
        <v>4.0</v>
      </c>
      <c r="B5" s="13" t="s">
        <v>1970</v>
      </c>
      <c r="C5" s="13">
        <v>9.712006503E9</v>
      </c>
      <c r="D5" s="11">
        <v>7502.0</v>
      </c>
      <c r="E5" s="11">
        <v>8217.0</v>
      </c>
      <c r="F5" s="11">
        <v>6.1238053E7</v>
      </c>
      <c r="G5" s="11">
        <v>2.8623465E7</v>
      </c>
      <c r="H5" s="13" t="s">
        <v>1968</v>
      </c>
      <c r="I5" s="13">
        <v>751.0</v>
      </c>
      <c r="J5" s="26"/>
    </row>
    <row r="6" ht="22.5" customHeight="1">
      <c r="A6" s="11">
        <v>5.0</v>
      </c>
      <c r="B6" s="13" t="s">
        <v>1971</v>
      </c>
      <c r="C6" s="13">
        <v>9.712006504E9</v>
      </c>
      <c r="D6" s="11">
        <v>6826.0</v>
      </c>
      <c r="E6" s="11">
        <v>4838.0</v>
      </c>
      <c r="F6" s="11">
        <v>4.700566E7</v>
      </c>
      <c r="G6" s="11">
        <v>5.6288015E7</v>
      </c>
      <c r="H6" s="13" t="s">
        <v>1972</v>
      </c>
      <c r="I6" s="13">
        <v>2689.0</v>
      </c>
      <c r="J6" s="26"/>
    </row>
    <row r="7" ht="22.5" customHeight="1">
      <c r="A7" s="11">
        <v>6.0</v>
      </c>
      <c r="B7" s="13" t="s">
        <v>1973</v>
      </c>
      <c r="C7" s="13">
        <v>9.712006505E9</v>
      </c>
      <c r="D7" s="11">
        <v>4112.0</v>
      </c>
      <c r="E7" s="11">
        <v>6834.0</v>
      </c>
      <c r="F7" s="11">
        <v>3.7233643E7</v>
      </c>
      <c r="G7" s="11">
        <v>2.1046858E7</v>
      </c>
      <c r="H7" s="13" t="s">
        <v>1974</v>
      </c>
      <c r="I7" s="13">
        <v>1098.0</v>
      </c>
    </row>
    <row r="8" ht="22.5" customHeight="1">
      <c r="A8" s="11">
        <v>7.0</v>
      </c>
      <c r="B8" s="13" t="s">
        <v>1975</v>
      </c>
      <c r="C8" s="13">
        <v>9.712006506E9</v>
      </c>
      <c r="D8" s="11">
        <v>3524.0</v>
      </c>
      <c r="E8" s="11">
        <v>8424.0</v>
      </c>
      <c r="F8" s="11">
        <v>4.7826641E7</v>
      </c>
      <c r="G8" s="11">
        <v>5.2158144E7</v>
      </c>
      <c r="H8" s="13" t="s">
        <v>1976</v>
      </c>
      <c r="I8" s="13">
        <v>5692.0</v>
      </c>
    </row>
    <row r="9" ht="22.5" customHeight="1">
      <c r="A9" s="11">
        <v>8.0</v>
      </c>
      <c r="B9" s="13" t="s">
        <v>1977</v>
      </c>
      <c r="C9" s="13">
        <v>9.712006507E9</v>
      </c>
      <c r="D9" s="11">
        <v>6605.0</v>
      </c>
      <c r="E9" s="11">
        <v>5388.0</v>
      </c>
      <c r="F9" s="11">
        <v>8.1520805E7</v>
      </c>
      <c r="G9" s="11">
        <v>7.2605758E7</v>
      </c>
      <c r="H9" s="13" t="s">
        <v>1978</v>
      </c>
      <c r="I9" s="13">
        <v>4588.0</v>
      </c>
    </row>
    <row r="10" ht="22.5" customHeight="1">
      <c r="A10" s="11">
        <v>9.0</v>
      </c>
      <c r="B10" s="13" t="s">
        <v>1979</v>
      </c>
      <c r="C10" s="13">
        <v>9.712006508E9</v>
      </c>
      <c r="D10" s="11">
        <v>7448.0</v>
      </c>
      <c r="E10" s="11">
        <v>3068.0</v>
      </c>
      <c r="F10" s="11">
        <v>1.5731236E7</v>
      </c>
      <c r="G10" s="11">
        <v>3.1204711E7</v>
      </c>
      <c r="H10" s="13" t="s">
        <v>447</v>
      </c>
      <c r="I10" s="13">
        <v>975.0</v>
      </c>
      <c r="J10" s="26">
        <v>46077.0</v>
      </c>
    </row>
    <row r="11" ht="22.5" customHeight="1">
      <c r="A11" s="11">
        <v>10.0</v>
      </c>
      <c r="B11" s="13" t="s">
        <v>1980</v>
      </c>
      <c r="C11" s="13">
        <v>9.712006509E9</v>
      </c>
      <c r="D11" s="11">
        <v>3664.0</v>
      </c>
      <c r="E11" s="11">
        <v>4884.0</v>
      </c>
      <c r="F11" s="11">
        <v>3.7763778E7</v>
      </c>
      <c r="G11" s="11">
        <v>5.5632364E7</v>
      </c>
      <c r="H11" s="13" t="s">
        <v>447</v>
      </c>
      <c r="I11" s="13">
        <v>976.0</v>
      </c>
      <c r="J11" s="26">
        <v>46077.0</v>
      </c>
    </row>
    <row r="12" ht="22.5" customHeight="1">
      <c r="A12" s="11">
        <v>11.0</v>
      </c>
      <c r="B12" s="13" t="s">
        <v>1981</v>
      </c>
      <c r="C12" s="13">
        <v>9.712029927E9</v>
      </c>
      <c r="D12" s="11"/>
      <c r="E12" s="11"/>
      <c r="F12" s="11"/>
      <c r="G12" s="11"/>
    </row>
    <row r="13" ht="22.5" customHeight="1">
      <c r="A13" s="11">
        <v>12.0</v>
      </c>
      <c r="B13" s="13" t="s">
        <v>1982</v>
      </c>
      <c r="C13" s="13">
        <v>9.712029932E9</v>
      </c>
      <c r="D13" s="11"/>
      <c r="E13" s="11"/>
      <c r="F13" s="11"/>
      <c r="G13" s="11"/>
    </row>
    <row r="14" ht="22.5" customHeight="1">
      <c r="A14" s="11">
        <v>13.0</v>
      </c>
      <c r="B14" s="13" t="s">
        <v>1983</v>
      </c>
      <c r="C14" s="13">
        <v>9.712029937E9</v>
      </c>
      <c r="D14" s="11"/>
      <c r="E14" s="11"/>
      <c r="F14" s="11"/>
      <c r="G14" s="11"/>
    </row>
    <row r="15" ht="22.5" customHeight="1">
      <c r="A15" s="11">
        <v>14.0</v>
      </c>
      <c r="B15" s="13" t="s">
        <v>1984</v>
      </c>
      <c r="C15" s="13">
        <v>9.712029942E9</v>
      </c>
      <c r="D15" s="11"/>
      <c r="E15" s="11"/>
      <c r="F15" s="11"/>
      <c r="G15" s="11"/>
    </row>
    <row r="16" ht="22.5" customHeight="1">
      <c r="A16" s="11">
        <v>15.0</v>
      </c>
      <c r="B16" s="13" t="s">
        <v>1985</v>
      </c>
      <c r="C16" s="13">
        <v>9.712029947E9</v>
      </c>
      <c r="D16" s="11"/>
      <c r="E16" s="11"/>
      <c r="F16" s="11"/>
      <c r="G16" s="11"/>
    </row>
    <row r="17" ht="22.5" customHeight="1">
      <c r="A17" s="11">
        <v>16.0</v>
      </c>
      <c r="B17" s="13" t="s">
        <v>1986</v>
      </c>
      <c r="C17" s="13">
        <v>9.712029951E9</v>
      </c>
      <c r="D17" s="11"/>
      <c r="E17" s="11"/>
      <c r="F17" s="11"/>
      <c r="G17" s="11"/>
    </row>
    <row r="18" ht="22.5" customHeight="1">
      <c r="A18" s="11">
        <v>17.0</v>
      </c>
      <c r="B18" s="13" t="s">
        <v>1987</v>
      </c>
      <c r="C18" s="13">
        <v>9.712029952E9</v>
      </c>
      <c r="D18" s="11"/>
      <c r="E18" s="11"/>
      <c r="F18" s="11"/>
      <c r="G18" s="11"/>
    </row>
    <row r="19" ht="22.5" customHeight="1">
      <c r="A19" s="11">
        <v>18.0</v>
      </c>
      <c r="B19" s="13" t="s">
        <v>1988</v>
      </c>
      <c r="C19" s="13">
        <v>9.712029956E9</v>
      </c>
      <c r="D19" s="11"/>
      <c r="E19" s="11"/>
      <c r="F19" s="11"/>
      <c r="G19" s="11"/>
    </row>
    <row r="20" ht="22.5" customHeight="1">
      <c r="A20" s="11">
        <v>19.0</v>
      </c>
      <c r="B20" s="13" t="s">
        <v>1989</v>
      </c>
      <c r="C20" s="13">
        <v>9.712029957E9</v>
      </c>
      <c r="D20" s="11"/>
      <c r="E20" s="11"/>
      <c r="F20" s="11"/>
      <c r="G20" s="11"/>
    </row>
    <row r="21" ht="22.5" customHeight="1">
      <c r="A21" s="11">
        <v>20.0</v>
      </c>
      <c r="B21" s="13" t="s">
        <v>1990</v>
      </c>
      <c r="C21" s="13">
        <v>9.712029967E9</v>
      </c>
      <c r="D21" s="11"/>
      <c r="E21" s="11"/>
      <c r="F21" s="11"/>
      <c r="G21" s="11"/>
    </row>
    <row r="22" ht="22.5" customHeight="1">
      <c r="A22" s="11">
        <v>21.0</v>
      </c>
      <c r="B22" s="13" t="s">
        <v>1991</v>
      </c>
      <c r="C22" s="13">
        <v>9.712011308E9</v>
      </c>
      <c r="D22" s="11"/>
      <c r="E22" s="11"/>
      <c r="F22" s="11"/>
      <c r="G22" s="11"/>
      <c r="I22" s="26"/>
      <c r="J22" s="26"/>
    </row>
    <row r="23" ht="22.5" customHeight="1">
      <c r="A23" s="11">
        <v>22.0</v>
      </c>
      <c r="B23" s="13" t="s">
        <v>1992</v>
      </c>
      <c r="C23" s="13">
        <v>9.712011312E9</v>
      </c>
      <c r="D23" s="11"/>
      <c r="E23" s="11"/>
      <c r="F23" s="11"/>
      <c r="G23" s="11"/>
    </row>
    <row r="24" ht="22.5" customHeight="1">
      <c r="A24" s="11">
        <v>23.0</v>
      </c>
      <c r="B24" s="13" t="s">
        <v>1993</v>
      </c>
      <c r="C24" s="13">
        <v>9.712011314E9</v>
      </c>
      <c r="D24" s="11"/>
      <c r="E24" s="11"/>
      <c r="F24" s="11"/>
      <c r="G24" s="11"/>
    </row>
    <row r="25" ht="22.5" customHeight="1">
      <c r="A25" s="11">
        <v>24.0</v>
      </c>
      <c r="B25" s="13" t="s">
        <v>1994</v>
      </c>
      <c r="C25" s="13">
        <v>9.712011316E9</v>
      </c>
      <c r="D25" s="11"/>
      <c r="E25" s="11"/>
      <c r="F25" s="11"/>
      <c r="G25" s="11"/>
    </row>
    <row r="26" ht="22.5" customHeight="1">
      <c r="A26" s="11">
        <v>25.0</v>
      </c>
      <c r="B26" s="13" t="s">
        <v>1995</v>
      </c>
      <c r="C26" s="13">
        <v>9.712011318E9</v>
      </c>
      <c r="D26" s="11"/>
      <c r="E26" s="11"/>
      <c r="F26" s="11"/>
      <c r="G26" s="11"/>
    </row>
    <row r="27" ht="22.5" customHeight="1">
      <c r="A27" s="11">
        <v>26.0</v>
      </c>
      <c r="B27" s="13" t="s">
        <v>1996</v>
      </c>
      <c r="C27" s="13">
        <v>9.71201132E9</v>
      </c>
      <c r="D27" s="11"/>
      <c r="E27" s="11"/>
      <c r="F27" s="11"/>
      <c r="G27" s="11"/>
    </row>
    <row r="28" ht="22.5" customHeight="1">
      <c r="A28" s="11">
        <v>27.0</v>
      </c>
      <c r="B28" s="13" t="s">
        <v>1997</v>
      </c>
      <c r="C28" s="13">
        <v>9.712011322E9</v>
      </c>
      <c r="D28" s="11"/>
      <c r="E28" s="11"/>
      <c r="F28" s="11"/>
      <c r="G28" s="11"/>
    </row>
    <row r="29" ht="22.5" customHeight="1">
      <c r="A29" s="11">
        <v>28.0</v>
      </c>
      <c r="B29" s="13" t="s">
        <v>1998</v>
      </c>
      <c r="C29" s="13">
        <v>9.712011324E9</v>
      </c>
      <c r="D29" s="11"/>
      <c r="E29" s="11"/>
      <c r="F29" s="11"/>
      <c r="G29" s="11"/>
    </row>
    <row r="30" ht="22.5" customHeight="1">
      <c r="A30" s="11">
        <v>29.0</v>
      </c>
      <c r="B30" s="13" t="s">
        <v>1999</v>
      </c>
      <c r="C30" s="13">
        <v>9.712011326E9</v>
      </c>
      <c r="D30" s="11"/>
      <c r="E30" s="11"/>
      <c r="F30" s="11"/>
      <c r="G30" s="11"/>
    </row>
    <row r="31" ht="22.5" customHeight="1">
      <c r="A31" s="11">
        <v>30.0</v>
      </c>
      <c r="B31" s="13" t="s">
        <v>2000</v>
      </c>
      <c r="C31" s="13">
        <v>9.712011328E9</v>
      </c>
      <c r="D31" s="11"/>
      <c r="E31" s="11"/>
      <c r="F31" s="11"/>
      <c r="G31" s="11"/>
    </row>
    <row r="32" ht="22.5" customHeight="1">
      <c r="A32" s="11">
        <v>31.0</v>
      </c>
      <c r="D32" s="11"/>
      <c r="E32" s="11"/>
      <c r="F32" s="11"/>
      <c r="G32" s="11"/>
    </row>
    <row r="33" ht="22.5" customHeight="1">
      <c r="A33" s="11">
        <v>32.0</v>
      </c>
      <c r="D33" s="11"/>
      <c r="E33" s="11"/>
      <c r="F33" s="11"/>
      <c r="G33" s="11"/>
    </row>
    <row r="34" ht="22.5" customHeight="1">
      <c r="A34" s="11">
        <v>33.0</v>
      </c>
      <c r="D34" s="11"/>
      <c r="E34" s="11"/>
      <c r="F34" s="11"/>
      <c r="G34" s="11"/>
    </row>
    <row r="35" ht="22.5" customHeight="1">
      <c r="A35" s="11">
        <v>34.0</v>
      </c>
      <c r="D35" s="11"/>
      <c r="E35" s="11"/>
      <c r="F35" s="11"/>
      <c r="G35" s="11"/>
    </row>
    <row r="36" ht="22.5" customHeight="1">
      <c r="A36" s="11">
        <v>35.0</v>
      </c>
      <c r="D36" s="11"/>
      <c r="E36" s="11"/>
      <c r="F36" s="11"/>
      <c r="G36" s="11"/>
    </row>
    <row r="37" ht="22.5" customHeight="1">
      <c r="A37" s="11">
        <v>36.0</v>
      </c>
      <c r="D37" s="11"/>
      <c r="E37" s="11"/>
      <c r="F37" s="11"/>
      <c r="G37" s="11"/>
    </row>
    <row r="38" ht="22.5" customHeight="1">
      <c r="A38" s="11">
        <v>37.0</v>
      </c>
      <c r="D38" s="11"/>
      <c r="E38" s="11"/>
      <c r="F38" s="11"/>
      <c r="G38" s="11"/>
    </row>
    <row r="39" ht="22.5" customHeight="1">
      <c r="A39" s="11">
        <v>38.0</v>
      </c>
      <c r="D39" s="11"/>
      <c r="E39" s="11"/>
      <c r="F39" s="11"/>
      <c r="G39" s="11"/>
    </row>
    <row r="40" ht="22.5" customHeight="1">
      <c r="A40" s="11">
        <v>39.0</v>
      </c>
      <c r="D40" s="11"/>
      <c r="E40" s="11"/>
      <c r="F40" s="11"/>
      <c r="G40" s="11"/>
    </row>
    <row r="41" ht="22.5" customHeight="1">
      <c r="A41" s="11">
        <v>40.0</v>
      </c>
      <c r="D41" s="11"/>
      <c r="E41" s="11"/>
      <c r="F41" s="11"/>
      <c r="G41" s="11"/>
    </row>
  </sheetData>
  <dataValidations>
    <dataValidation type="custom" allowBlank="1" showDropDown="1" sqref="A2:A41 F2:G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6.0"/>
    <col customWidth="1" min="3" max="3" width="20.0"/>
    <col customWidth="1" min="4" max="4" width="12.88"/>
    <col customWidth="1" min="5" max="5" width="9.63"/>
    <col customWidth="1" min="6" max="6" width="9.38"/>
  </cols>
  <sheetData>
    <row r="1" ht="22.5" customHeight="1">
      <c r="A1" s="83" t="s">
        <v>2001</v>
      </c>
      <c r="B1" s="83" t="s">
        <v>2002</v>
      </c>
      <c r="C1" s="83" t="s">
        <v>2003</v>
      </c>
      <c r="D1" s="83" t="s">
        <v>2004</v>
      </c>
      <c r="E1" s="83" t="s">
        <v>34</v>
      </c>
      <c r="F1" s="83" t="s">
        <v>35</v>
      </c>
      <c r="G1" s="85" t="s">
        <v>2005</v>
      </c>
      <c r="H1" s="85" t="s">
        <v>2006</v>
      </c>
      <c r="I1" s="85" t="s">
        <v>2007</v>
      </c>
      <c r="J1" s="85" t="s">
        <v>2008</v>
      </c>
      <c r="K1" s="85" t="s">
        <v>2009</v>
      </c>
    </row>
    <row r="2" ht="22.5" customHeight="1">
      <c r="A2" s="11">
        <v>1.0</v>
      </c>
      <c r="B2" s="13" t="s">
        <v>2010</v>
      </c>
      <c r="C2" s="13" t="s">
        <v>565</v>
      </c>
      <c r="D2" s="11">
        <v>9.760825435E9</v>
      </c>
      <c r="E2" s="13">
        <v>1.2386153E7</v>
      </c>
      <c r="F2" s="13">
        <v>2.4460246E7</v>
      </c>
      <c r="G2" s="7">
        <v>45964.0</v>
      </c>
      <c r="H2" s="8" t="s">
        <v>1777</v>
      </c>
      <c r="I2" s="8">
        <v>3243.0</v>
      </c>
      <c r="J2" s="22"/>
      <c r="K2" s="22"/>
    </row>
    <row r="3" ht="22.5" customHeight="1">
      <c r="A3" s="11">
        <v>2.0</v>
      </c>
      <c r="B3" s="13" t="s">
        <v>2011</v>
      </c>
      <c r="C3" s="13" t="s">
        <v>2012</v>
      </c>
      <c r="D3" s="11">
        <v>9.760826716E9</v>
      </c>
      <c r="E3" s="13">
        <v>1.5474312E7</v>
      </c>
      <c r="F3" s="13">
        <v>2.1911251E7</v>
      </c>
      <c r="G3" s="7">
        <v>45964.0</v>
      </c>
      <c r="H3" s="22"/>
      <c r="I3" s="22"/>
      <c r="J3" s="22"/>
      <c r="K3" s="22"/>
    </row>
    <row r="4" ht="22.5" customHeight="1">
      <c r="A4" s="11">
        <v>3.0</v>
      </c>
      <c r="B4" s="13" t="s">
        <v>2013</v>
      </c>
      <c r="C4" s="13" t="s">
        <v>2014</v>
      </c>
      <c r="D4" s="11">
        <v>9.760826722E9</v>
      </c>
      <c r="E4" s="13">
        <v>2.7882252E7</v>
      </c>
      <c r="F4" s="13">
        <v>2.1903238E7</v>
      </c>
      <c r="G4" s="7">
        <v>45964.0</v>
      </c>
      <c r="H4" s="8" t="s">
        <v>2015</v>
      </c>
      <c r="I4" s="8" t="s">
        <v>2016</v>
      </c>
      <c r="J4" s="22"/>
      <c r="K4" s="22"/>
    </row>
    <row r="5" ht="22.5" customHeight="1">
      <c r="A5" s="16">
        <v>4.0</v>
      </c>
      <c r="B5" s="15" t="s">
        <v>1617</v>
      </c>
      <c r="C5" s="15" t="s">
        <v>1618</v>
      </c>
      <c r="D5" s="16">
        <v>9.760843009E9</v>
      </c>
      <c r="E5" s="15">
        <v>2.7441269E7</v>
      </c>
      <c r="F5" s="15">
        <v>3.2061227E7</v>
      </c>
      <c r="G5" s="8" t="s">
        <v>2017</v>
      </c>
      <c r="H5" s="8" t="s">
        <v>2018</v>
      </c>
      <c r="I5" s="8">
        <v>9907.0</v>
      </c>
      <c r="J5" s="22"/>
      <c r="K5" s="22"/>
    </row>
    <row r="6" ht="22.5" customHeight="1">
      <c r="A6" s="16">
        <v>5.0</v>
      </c>
      <c r="B6" s="15" t="s">
        <v>2019</v>
      </c>
      <c r="C6" s="15" t="s">
        <v>475</v>
      </c>
      <c r="D6" s="16">
        <v>9.760843015E9</v>
      </c>
      <c r="E6" s="15">
        <v>3.0243303E7</v>
      </c>
      <c r="F6" s="15">
        <v>1.8715652E7</v>
      </c>
      <c r="G6" s="8" t="s">
        <v>2017</v>
      </c>
      <c r="H6" s="8" t="s">
        <v>2020</v>
      </c>
      <c r="I6" s="8">
        <v>161.0</v>
      </c>
      <c r="J6" s="22"/>
      <c r="K6" s="22"/>
    </row>
    <row r="7" ht="22.5" customHeight="1">
      <c r="A7" s="16">
        <v>6.0</v>
      </c>
      <c r="B7" s="15" t="s">
        <v>2021</v>
      </c>
      <c r="C7" s="13" t="s">
        <v>2022</v>
      </c>
      <c r="D7" s="16">
        <v>9.760843056E9</v>
      </c>
      <c r="E7" s="13">
        <v>2.7343221E7</v>
      </c>
      <c r="F7" s="13">
        <v>9.9672646E7</v>
      </c>
      <c r="G7" s="22"/>
      <c r="H7" s="8" t="s">
        <v>1379</v>
      </c>
      <c r="I7" s="8">
        <v>9456.0</v>
      </c>
      <c r="K7" s="22"/>
    </row>
    <row r="8" ht="22.5" customHeight="1">
      <c r="A8" s="16">
        <v>7.0</v>
      </c>
      <c r="B8" s="15" t="s">
        <v>2023</v>
      </c>
      <c r="C8" s="15" t="s">
        <v>75</v>
      </c>
      <c r="D8" s="16">
        <v>9.760843101E9</v>
      </c>
      <c r="E8" s="15">
        <v>1.1066176E7</v>
      </c>
      <c r="F8" s="15">
        <v>1.6287206E7</v>
      </c>
      <c r="G8" s="8" t="s">
        <v>2017</v>
      </c>
      <c r="H8" s="8" t="s">
        <v>69</v>
      </c>
      <c r="I8" s="8">
        <v>24.0</v>
      </c>
      <c r="J8" s="22"/>
      <c r="K8" s="22"/>
    </row>
    <row r="9" ht="22.5" customHeight="1">
      <c r="A9" s="16">
        <v>8.0</v>
      </c>
      <c r="B9" s="15" t="s">
        <v>2024</v>
      </c>
      <c r="C9" s="15" t="s">
        <v>314</v>
      </c>
      <c r="D9" s="16">
        <v>9.760843135E9</v>
      </c>
      <c r="E9" s="15">
        <v>2.1330123E7</v>
      </c>
      <c r="F9" s="15">
        <v>2.4255293E7</v>
      </c>
      <c r="G9" s="8" t="s">
        <v>2017</v>
      </c>
      <c r="H9" s="8" t="s">
        <v>304</v>
      </c>
      <c r="I9" s="8">
        <v>3539.0</v>
      </c>
      <c r="J9" s="22"/>
      <c r="K9" s="22"/>
    </row>
    <row r="10" ht="22.5" customHeight="1">
      <c r="A10" s="16">
        <v>9.0</v>
      </c>
      <c r="B10" s="15" t="s">
        <v>2025</v>
      </c>
      <c r="C10" s="15" t="s">
        <v>1634</v>
      </c>
      <c r="D10" s="16">
        <v>9.760843143E9</v>
      </c>
      <c r="E10" s="15">
        <v>2.2263201E7</v>
      </c>
      <c r="F10" s="15">
        <v>7.9372236E7</v>
      </c>
      <c r="G10" s="8" t="s">
        <v>2017</v>
      </c>
      <c r="H10" s="8" t="s">
        <v>2026</v>
      </c>
      <c r="I10" s="8">
        <v>9964.0</v>
      </c>
      <c r="J10" s="22"/>
      <c r="K10" s="22"/>
    </row>
    <row r="11" ht="22.5" customHeight="1">
      <c r="A11" s="16">
        <v>10.0</v>
      </c>
      <c r="B11" s="15" t="s">
        <v>2027</v>
      </c>
      <c r="C11" s="15" t="s">
        <v>1644</v>
      </c>
      <c r="D11" s="16">
        <v>9.760843169E9</v>
      </c>
      <c r="E11" s="15">
        <v>4.5041521E7</v>
      </c>
      <c r="F11" s="15">
        <v>3.0931182E7</v>
      </c>
      <c r="G11" s="8" t="s">
        <v>2017</v>
      </c>
      <c r="H11" s="8" t="s">
        <v>2028</v>
      </c>
      <c r="I11" s="8">
        <v>4403.0</v>
      </c>
      <c r="J11" s="22"/>
      <c r="K11" s="22"/>
    </row>
    <row r="12" ht="22.5" customHeight="1">
      <c r="A12" s="16">
        <v>11.0</v>
      </c>
      <c r="B12" s="15" t="s">
        <v>2029</v>
      </c>
      <c r="C12" s="15" t="s">
        <v>1652</v>
      </c>
      <c r="D12" s="16">
        <v>9.760843204E9</v>
      </c>
      <c r="E12" s="15">
        <v>2.969412E7</v>
      </c>
      <c r="F12" s="15">
        <v>2.6296597E7</v>
      </c>
      <c r="G12" s="8" t="s">
        <v>2017</v>
      </c>
      <c r="H12" s="8" t="s">
        <v>2030</v>
      </c>
      <c r="I12" s="8">
        <v>2885.0</v>
      </c>
      <c r="J12" s="22"/>
      <c r="K12" s="8" t="s">
        <v>2031</v>
      </c>
    </row>
    <row r="13" ht="22.5" customHeight="1">
      <c r="A13" s="16">
        <v>12.0</v>
      </c>
      <c r="B13" s="15" t="s">
        <v>2032</v>
      </c>
      <c r="C13" s="13" t="s">
        <v>932</v>
      </c>
      <c r="D13" s="16">
        <v>9.760843451E9</v>
      </c>
      <c r="E13" s="15">
        <v>2.3595769E7</v>
      </c>
      <c r="F13" s="15">
        <v>7.0702553E7</v>
      </c>
      <c r="G13" s="22"/>
      <c r="H13" s="8" t="s">
        <v>2033</v>
      </c>
      <c r="I13" s="8">
        <v>2514.0</v>
      </c>
      <c r="J13" s="22"/>
      <c r="K13" s="22"/>
    </row>
    <row r="14" ht="22.5" customHeight="1">
      <c r="A14" s="16">
        <v>13.0</v>
      </c>
      <c r="B14" s="15" t="s">
        <v>2034</v>
      </c>
      <c r="C14" s="15" t="s">
        <v>2035</v>
      </c>
      <c r="D14" s="16">
        <v>9.760843608E9</v>
      </c>
      <c r="E14" s="15">
        <v>1.8712656E7</v>
      </c>
      <c r="F14" s="15">
        <v>9.7912238E7</v>
      </c>
      <c r="G14" s="8"/>
      <c r="H14" s="8" t="s">
        <v>1379</v>
      </c>
      <c r="I14" s="8">
        <v>9457.0</v>
      </c>
      <c r="J14" s="22"/>
      <c r="K14" s="22"/>
    </row>
    <row r="15" ht="22.5" customHeight="1">
      <c r="A15" s="16">
        <v>14.0</v>
      </c>
      <c r="B15" s="29"/>
      <c r="C15" s="29" t="s">
        <v>2036</v>
      </c>
      <c r="D15" s="86">
        <v>9.760839178E9</v>
      </c>
      <c r="E15" s="29">
        <v>1.6487237E7</v>
      </c>
      <c r="F15" s="29">
        <v>3.2384839E7</v>
      </c>
      <c r="G15" s="22"/>
      <c r="H15" s="8" t="s">
        <v>2037</v>
      </c>
      <c r="I15" s="8">
        <v>9908.0</v>
      </c>
      <c r="J15" s="22"/>
      <c r="K15" s="22"/>
    </row>
    <row r="16" ht="22.5" customHeight="1">
      <c r="A16" s="16">
        <v>15.0</v>
      </c>
      <c r="B16" s="29"/>
      <c r="C16" s="29" t="s">
        <v>456</v>
      </c>
      <c r="D16" s="36">
        <v>9.760839252E9</v>
      </c>
      <c r="E16" s="29">
        <v>5.6191292E7</v>
      </c>
      <c r="F16" s="29">
        <v>9.9229664E7</v>
      </c>
      <c r="G16" s="22"/>
      <c r="H16" s="8" t="s">
        <v>455</v>
      </c>
      <c r="I16" s="8">
        <v>5629.0</v>
      </c>
      <c r="J16" s="22"/>
      <c r="K16" s="22"/>
    </row>
    <row r="17" ht="22.5" customHeight="1">
      <c r="A17" s="16">
        <v>16.0</v>
      </c>
      <c r="B17" s="29"/>
      <c r="C17" s="29" t="s">
        <v>407</v>
      </c>
      <c r="D17" s="86">
        <v>9.760839443E9</v>
      </c>
      <c r="E17" s="29">
        <v>9.3083102E7</v>
      </c>
      <c r="F17" s="29">
        <v>2.0842112E7</v>
      </c>
      <c r="G17" s="22"/>
      <c r="H17" s="8" t="s">
        <v>2038</v>
      </c>
      <c r="I17" s="8">
        <v>2558.0</v>
      </c>
      <c r="J17" s="22"/>
      <c r="K17" s="22"/>
    </row>
    <row r="18" ht="22.5" customHeight="1">
      <c r="A18" s="16">
        <v>17.0</v>
      </c>
      <c r="B18" s="29"/>
      <c r="C18" s="29" t="s">
        <v>299</v>
      </c>
      <c r="D18" s="30">
        <v>9.760834993E9</v>
      </c>
      <c r="E18" s="29">
        <v>2.2062014E7</v>
      </c>
      <c r="F18" s="29">
        <v>1.033333E7</v>
      </c>
      <c r="G18" s="22"/>
      <c r="H18" s="8" t="s">
        <v>2039</v>
      </c>
      <c r="I18" s="8">
        <v>3402.0</v>
      </c>
      <c r="J18" s="22"/>
      <c r="K18" s="22"/>
    </row>
    <row r="19" ht="22.5" customHeight="1">
      <c r="A19" s="16">
        <v>18.0</v>
      </c>
      <c r="B19" s="29"/>
      <c r="C19" s="29" t="s">
        <v>2040</v>
      </c>
      <c r="D19" s="17">
        <v>9.76083097E9</v>
      </c>
      <c r="E19" s="29">
        <v>1.8857319E7</v>
      </c>
      <c r="F19" s="29">
        <v>3.2139193E7</v>
      </c>
      <c r="G19" s="22"/>
      <c r="H19" s="8" t="s">
        <v>2033</v>
      </c>
      <c r="I19" s="8">
        <v>3365.0</v>
      </c>
      <c r="J19" s="22"/>
      <c r="K19" s="22"/>
    </row>
    <row r="20" ht="22.5" customHeight="1">
      <c r="A20" s="16">
        <v>19.0</v>
      </c>
      <c r="B20" s="29"/>
      <c r="C20" s="29" t="s">
        <v>675</v>
      </c>
      <c r="D20" s="30">
        <v>9.7608375E9</v>
      </c>
      <c r="E20" s="29">
        <v>4.4014599E7</v>
      </c>
      <c r="F20" s="29">
        <v>1.759025E7</v>
      </c>
      <c r="G20" s="22"/>
      <c r="H20" s="8" t="s">
        <v>455</v>
      </c>
      <c r="I20" s="8">
        <v>5630.0</v>
      </c>
      <c r="J20" s="22"/>
      <c r="K20" s="22"/>
    </row>
    <row r="21" ht="22.5" customHeight="1">
      <c r="A21" s="16">
        <v>20.0</v>
      </c>
      <c r="B21" s="29"/>
      <c r="C21" s="29" t="s">
        <v>2041</v>
      </c>
      <c r="D21" s="30">
        <v>9.760839188E9</v>
      </c>
      <c r="E21" s="29">
        <v>2.9439134E7</v>
      </c>
      <c r="F21" s="29">
        <v>7.352309E7</v>
      </c>
      <c r="G21" s="22"/>
      <c r="H21" s="8" t="s">
        <v>2042</v>
      </c>
      <c r="I21" s="8">
        <v>147.0</v>
      </c>
      <c r="J21" s="22"/>
      <c r="K21" s="8">
        <v>9443.0</v>
      </c>
    </row>
    <row r="22" ht="22.5" customHeight="1">
      <c r="A22" s="16">
        <v>21.0</v>
      </c>
      <c r="B22" s="29"/>
      <c r="C22" s="29" t="s">
        <v>294</v>
      </c>
      <c r="D22" s="30">
        <v>9.760837613E9</v>
      </c>
      <c r="E22" s="29">
        <v>3.8107092E7</v>
      </c>
      <c r="F22" s="29">
        <v>3.2552122E7</v>
      </c>
      <c r="G22" s="22"/>
      <c r="H22" s="8" t="s">
        <v>2039</v>
      </c>
      <c r="I22" s="8">
        <v>3401.0</v>
      </c>
      <c r="J22" s="22"/>
      <c r="K22" s="22"/>
    </row>
    <row r="23" ht="22.5" customHeight="1">
      <c r="A23" s="16">
        <v>22.0</v>
      </c>
      <c r="B23" s="29"/>
      <c r="C23" s="29" t="s">
        <v>2043</v>
      </c>
      <c r="D23" s="30">
        <v>9.760839204E9</v>
      </c>
      <c r="E23" s="29">
        <v>2.9072126E7</v>
      </c>
      <c r="F23" s="29">
        <v>2.9622875E7</v>
      </c>
      <c r="G23" s="22"/>
      <c r="H23" s="8" t="s">
        <v>2044</v>
      </c>
      <c r="I23" s="8">
        <v>3441.0</v>
      </c>
      <c r="J23" s="22"/>
      <c r="K23" s="22"/>
    </row>
    <row r="24" ht="22.5" customHeight="1">
      <c r="A24" s="16">
        <v>23.0</v>
      </c>
      <c r="B24" s="29"/>
      <c r="C24" s="29" t="s">
        <v>498</v>
      </c>
      <c r="D24" s="30">
        <v>9.760839514E9</v>
      </c>
      <c r="E24" s="29">
        <v>7.0562588E7</v>
      </c>
      <c r="F24" s="29">
        <v>2.9395269E7</v>
      </c>
      <c r="G24" s="22"/>
      <c r="H24" s="8" t="s">
        <v>2020</v>
      </c>
      <c r="I24" s="8">
        <v>162.0</v>
      </c>
      <c r="J24" s="22"/>
      <c r="K24" s="22"/>
    </row>
    <row r="25" ht="22.5" customHeight="1">
      <c r="A25" s="17"/>
      <c r="B25" s="8"/>
      <c r="C25" s="15" t="s">
        <v>2045</v>
      </c>
      <c r="D25" s="17">
        <v>9.760839197E9</v>
      </c>
      <c r="E25" s="15">
        <v>1.1471152E7</v>
      </c>
      <c r="F25" s="15">
        <v>2.0427207E7</v>
      </c>
      <c r="G25" s="22"/>
      <c r="H25" s="8" t="s">
        <v>2046</v>
      </c>
      <c r="I25" s="8">
        <v>2688.0</v>
      </c>
      <c r="J25" s="22"/>
      <c r="K25" s="22"/>
    </row>
    <row r="26" ht="22.5" customHeight="1">
      <c r="A26" s="17"/>
      <c r="B26" s="8"/>
      <c r="C26" s="15" t="s">
        <v>2047</v>
      </c>
      <c r="D26" s="17">
        <v>9.760837622E9</v>
      </c>
      <c r="E26" s="15">
        <v>2.5815187E7</v>
      </c>
      <c r="F26" s="15">
        <v>9.857279E7</v>
      </c>
      <c r="G26" s="22"/>
      <c r="H26" s="8" t="s">
        <v>2048</v>
      </c>
      <c r="I26" s="8">
        <v>7767.0</v>
      </c>
      <c r="J26" s="22"/>
      <c r="K26" s="22"/>
    </row>
    <row r="27" ht="22.5" customHeight="1">
      <c r="A27" s="17"/>
      <c r="B27" s="8" t="s">
        <v>2049</v>
      </c>
      <c r="C27" s="8" t="s">
        <v>1664</v>
      </c>
      <c r="D27" s="17">
        <v>9.760843766E9</v>
      </c>
      <c r="E27" s="8">
        <v>2.4209109E7</v>
      </c>
      <c r="F27" s="8">
        <v>2.844449E7</v>
      </c>
      <c r="G27" s="22"/>
      <c r="H27" s="8" t="s">
        <v>2028</v>
      </c>
      <c r="I27" s="8">
        <v>2427.0</v>
      </c>
      <c r="J27" s="22"/>
      <c r="K27" s="22"/>
    </row>
    <row r="28" ht="22.5" customHeight="1">
      <c r="A28" s="17"/>
      <c r="B28" s="8" t="s">
        <v>2050</v>
      </c>
      <c r="C28" s="8" t="s">
        <v>342</v>
      </c>
      <c r="D28" s="17">
        <v>9.760843142E9</v>
      </c>
      <c r="E28" s="8">
        <v>8.9692815E7</v>
      </c>
      <c r="F28" s="8">
        <v>2.4099194E7</v>
      </c>
      <c r="G28" s="22"/>
      <c r="H28" s="8" t="s">
        <v>2051</v>
      </c>
      <c r="I28" s="8">
        <v>1784.0</v>
      </c>
      <c r="J28" s="22"/>
      <c r="K28" s="8" t="s">
        <v>2052</v>
      </c>
    </row>
    <row r="29" ht="22.5" customHeight="1">
      <c r="A29" s="17"/>
      <c r="B29" s="8" t="s">
        <v>2053</v>
      </c>
      <c r="C29" s="8" t="s">
        <v>2054</v>
      </c>
      <c r="D29" s="17">
        <v>9.760843898E9</v>
      </c>
      <c r="E29" s="8">
        <v>1.4042189E7</v>
      </c>
      <c r="F29" s="8">
        <v>8.9412275E7</v>
      </c>
      <c r="G29" s="22"/>
      <c r="H29" s="8" t="s">
        <v>2033</v>
      </c>
      <c r="I29" s="8">
        <v>3364.0</v>
      </c>
      <c r="J29" s="22"/>
      <c r="K29" s="22"/>
    </row>
    <row r="30" ht="22.5" customHeight="1">
      <c r="A30" s="17"/>
      <c r="B30" s="8" t="s">
        <v>2055</v>
      </c>
      <c r="C30" s="8" t="s">
        <v>1667</v>
      </c>
      <c r="D30" s="17">
        <v>9.760843696E9</v>
      </c>
      <c r="E30" s="8">
        <v>1.4435249E7</v>
      </c>
      <c r="F30" s="8">
        <v>4.2606071E7</v>
      </c>
      <c r="G30" s="22"/>
      <c r="H30" s="8" t="s">
        <v>2056</v>
      </c>
      <c r="I30" s="8">
        <v>9924.0</v>
      </c>
      <c r="J30" s="22"/>
      <c r="K30" s="8" t="s">
        <v>2052</v>
      </c>
    </row>
    <row r="31" ht="22.5" customHeight="1">
      <c r="A31" s="17"/>
      <c r="B31" s="8" t="s">
        <v>2057</v>
      </c>
      <c r="C31" s="8" t="s">
        <v>1162</v>
      </c>
      <c r="D31" s="17">
        <v>9.760843936E9</v>
      </c>
      <c r="E31" s="8">
        <v>2.5909299E7</v>
      </c>
      <c r="F31" s="8">
        <v>1.8063236E7</v>
      </c>
      <c r="G31" s="22"/>
      <c r="H31" s="8" t="s">
        <v>2058</v>
      </c>
      <c r="I31" s="8">
        <v>456.0</v>
      </c>
      <c r="J31" s="22"/>
      <c r="K31" s="8" t="s">
        <v>2052</v>
      </c>
    </row>
    <row r="32" ht="22.5" customHeight="1">
      <c r="A32" s="17"/>
      <c r="B32" s="8" t="s">
        <v>2059</v>
      </c>
      <c r="C32" s="8" t="s">
        <v>1670</v>
      </c>
      <c r="D32" s="17">
        <v>9.760843148E9</v>
      </c>
      <c r="E32" s="8">
        <v>2.0907545E7</v>
      </c>
      <c r="F32" s="8">
        <v>2.8076283E7</v>
      </c>
      <c r="G32" s="22"/>
      <c r="H32" s="8" t="s">
        <v>2060</v>
      </c>
      <c r="I32" s="8">
        <v>9989.0</v>
      </c>
      <c r="J32" s="22"/>
      <c r="K32" s="8" t="s">
        <v>2052</v>
      </c>
    </row>
    <row r="33" ht="22.5" customHeight="1">
      <c r="A33" s="17"/>
      <c r="B33" s="8" t="s">
        <v>2061</v>
      </c>
      <c r="C33" s="8" t="s">
        <v>2062</v>
      </c>
      <c r="D33" s="17">
        <v>9.760843729E9</v>
      </c>
      <c r="E33" s="8">
        <v>2.7905161E7</v>
      </c>
      <c r="F33" s="8">
        <v>1.7474222E7</v>
      </c>
      <c r="G33" s="22"/>
      <c r="H33" s="8" t="s">
        <v>2060</v>
      </c>
      <c r="I33" s="8">
        <v>9988.0</v>
      </c>
      <c r="J33" s="22"/>
      <c r="K33" s="8" t="s">
        <v>2052</v>
      </c>
    </row>
    <row r="34" ht="22.5" customHeight="1">
      <c r="A34" s="17"/>
      <c r="B34" s="8" t="s">
        <v>2063</v>
      </c>
      <c r="C34" s="8"/>
      <c r="D34" s="17">
        <v>9.760843161E9</v>
      </c>
      <c r="E34" s="8"/>
      <c r="F34" s="8"/>
      <c r="G34" s="22"/>
      <c r="H34" s="8"/>
      <c r="I34" s="8"/>
      <c r="J34" s="22"/>
      <c r="K34" s="22"/>
    </row>
    <row r="35" ht="22.5" customHeight="1">
      <c r="A35" s="17"/>
      <c r="B35" s="8" t="s">
        <v>2064</v>
      </c>
      <c r="C35" s="8" t="s">
        <v>1688</v>
      </c>
      <c r="D35" s="17">
        <v>9.760843153E9</v>
      </c>
      <c r="E35" s="8">
        <v>2.2658262E7</v>
      </c>
      <c r="F35" s="8">
        <v>1.1736935E7</v>
      </c>
      <c r="G35" s="22"/>
      <c r="H35" s="8" t="s">
        <v>2065</v>
      </c>
      <c r="I35" s="8">
        <v>8367.0</v>
      </c>
      <c r="J35" s="22"/>
      <c r="K35" s="22"/>
    </row>
    <row r="36" ht="22.5" customHeight="1">
      <c r="A36" s="17"/>
      <c r="B36" s="8" t="s">
        <v>2066</v>
      </c>
      <c r="C36" s="8" t="s">
        <v>1693</v>
      </c>
      <c r="D36" s="17">
        <v>9.760843908E9</v>
      </c>
      <c r="E36" s="8">
        <v>3.8721908E7</v>
      </c>
      <c r="F36" s="8">
        <v>7.9432291E7</v>
      </c>
      <c r="G36" s="22"/>
      <c r="H36" s="8" t="s">
        <v>2056</v>
      </c>
      <c r="I36" s="8">
        <v>9925.0</v>
      </c>
      <c r="J36" s="22"/>
      <c r="K36" s="22"/>
    </row>
    <row r="37" ht="22.5" customHeight="1">
      <c r="A37" s="17"/>
      <c r="B37" s="8"/>
      <c r="C37" s="8"/>
      <c r="D37" s="17"/>
      <c r="E37" s="8"/>
      <c r="F37" s="8"/>
      <c r="G37" s="22"/>
      <c r="H37" s="8"/>
      <c r="I37" s="8"/>
      <c r="J37" s="22"/>
      <c r="K37" s="22"/>
    </row>
    <row r="38" ht="22.5" customHeight="1">
      <c r="A38" s="17"/>
      <c r="B38" s="8" t="s">
        <v>2067</v>
      </c>
      <c r="C38" s="8" t="s">
        <v>1699</v>
      </c>
      <c r="D38" s="17">
        <v>9.760844784E9</v>
      </c>
      <c r="E38" s="8">
        <v>1.8674233E7</v>
      </c>
      <c r="F38" s="8">
        <v>7.1272417E7</v>
      </c>
      <c r="G38" s="22"/>
      <c r="H38" s="8" t="s">
        <v>1697</v>
      </c>
      <c r="I38" s="8">
        <v>9909.0</v>
      </c>
      <c r="J38" s="22"/>
      <c r="K38" s="22"/>
    </row>
    <row r="39" ht="22.5" customHeight="1">
      <c r="A39" s="17"/>
      <c r="B39" s="8" t="s">
        <v>2068</v>
      </c>
      <c r="C39" s="8" t="s">
        <v>1704</v>
      </c>
      <c r="D39" s="17">
        <v>9.760845076E9</v>
      </c>
      <c r="E39" s="8">
        <v>1.8082268E7</v>
      </c>
      <c r="F39" s="8">
        <v>2.0929284E7</v>
      </c>
      <c r="G39" s="22"/>
      <c r="H39" s="8" t="s">
        <v>2065</v>
      </c>
      <c r="I39" s="8">
        <v>8364.0</v>
      </c>
      <c r="J39" s="22"/>
      <c r="K39" s="22"/>
    </row>
    <row r="40" ht="22.5" customHeight="1">
      <c r="A40" s="17"/>
      <c r="B40" s="8" t="s">
        <v>2069</v>
      </c>
      <c r="C40" s="8" t="s">
        <v>2070</v>
      </c>
      <c r="D40" s="17">
        <v>9.76084472E9</v>
      </c>
      <c r="E40" s="8">
        <v>1.7944286E7</v>
      </c>
      <c r="F40" s="8">
        <v>2.2134103E7</v>
      </c>
      <c r="G40" s="22"/>
      <c r="H40" s="8" t="s">
        <v>1697</v>
      </c>
      <c r="I40" s="8">
        <v>9910.0</v>
      </c>
      <c r="J40" s="22"/>
      <c r="K40" s="22"/>
    </row>
    <row r="41" ht="22.5" customHeight="1">
      <c r="A41" s="17"/>
      <c r="B41" s="8" t="s">
        <v>2071</v>
      </c>
      <c r="C41" s="8" t="s">
        <v>168</v>
      </c>
      <c r="D41" s="17">
        <v>9.760845115E9</v>
      </c>
      <c r="E41" s="8">
        <v>5.2572442E7</v>
      </c>
      <c r="F41" s="8">
        <v>3.3872978E7</v>
      </c>
      <c r="G41" s="22"/>
      <c r="H41" s="8" t="s">
        <v>2072</v>
      </c>
      <c r="I41" s="8">
        <v>5235.0</v>
      </c>
      <c r="J41" s="22"/>
      <c r="K41" s="22"/>
    </row>
    <row r="42" ht="22.5" customHeight="1">
      <c r="A42" s="17"/>
      <c r="B42" s="8" t="s">
        <v>2073</v>
      </c>
      <c r="C42" s="8" t="s">
        <v>1717</v>
      </c>
      <c r="D42" s="17">
        <v>9.760844495E9</v>
      </c>
      <c r="E42" s="8">
        <v>2.8855142E7</v>
      </c>
      <c r="F42" s="8">
        <v>3.006616E7</v>
      </c>
      <c r="G42" s="38">
        <v>45963.0</v>
      </c>
      <c r="H42" s="8" t="s">
        <v>2074</v>
      </c>
      <c r="I42" s="8">
        <v>9976.0</v>
      </c>
      <c r="J42" s="22"/>
      <c r="K42" s="22"/>
    </row>
    <row r="43" ht="22.5" customHeight="1">
      <c r="A43" s="17"/>
      <c r="B43" s="8" t="s">
        <v>2075</v>
      </c>
      <c r="C43" s="8" t="s">
        <v>1721</v>
      </c>
      <c r="D43" s="17">
        <v>9.760844506E9</v>
      </c>
      <c r="E43" s="8">
        <v>2.2876305E7</v>
      </c>
      <c r="F43" s="8">
        <v>4.6483171E7</v>
      </c>
      <c r="G43" s="38">
        <v>45963.0</v>
      </c>
      <c r="H43" s="8" t="s">
        <v>2074</v>
      </c>
      <c r="I43" s="8">
        <v>9977.0</v>
      </c>
      <c r="J43" s="22"/>
      <c r="K43" s="22"/>
    </row>
    <row r="44" ht="22.5" customHeight="1">
      <c r="A44" s="17"/>
      <c r="B44" s="8" t="s">
        <v>2076</v>
      </c>
      <c r="C44" s="8" t="s">
        <v>2077</v>
      </c>
      <c r="D44" s="17">
        <v>9.760844685E9</v>
      </c>
      <c r="E44" s="8">
        <v>2.6459218E7</v>
      </c>
      <c r="F44" s="8">
        <v>2.1331324E7</v>
      </c>
      <c r="G44" s="7">
        <v>45984.0</v>
      </c>
      <c r="H44" s="8" t="s">
        <v>120</v>
      </c>
      <c r="I44" s="8">
        <v>655.0</v>
      </c>
      <c r="J44" s="22"/>
      <c r="K44" s="22"/>
    </row>
    <row r="45" ht="22.5" customHeight="1">
      <c r="A45" s="17"/>
      <c r="B45" s="8" t="s">
        <v>2078</v>
      </c>
      <c r="C45" s="8" t="s">
        <v>2079</v>
      </c>
      <c r="D45" s="17">
        <v>9.760845186E9</v>
      </c>
      <c r="E45" s="8">
        <v>3.2552355E7</v>
      </c>
      <c r="F45" s="8">
        <v>1.3807551E7</v>
      </c>
      <c r="G45" s="7">
        <v>45984.0</v>
      </c>
      <c r="H45" s="8" t="s">
        <v>69</v>
      </c>
      <c r="I45" s="8">
        <v>81.0</v>
      </c>
      <c r="J45" s="8" t="s">
        <v>2017</v>
      </c>
      <c r="K45" s="22"/>
    </row>
    <row r="46" ht="22.5" customHeight="1">
      <c r="A46" s="17"/>
      <c r="B46" s="8" t="s">
        <v>2080</v>
      </c>
      <c r="C46" s="8" t="s">
        <v>2081</v>
      </c>
      <c r="D46" s="17">
        <v>9.760845093E9</v>
      </c>
      <c r="E46" s="8">
        <v>5.8853872E7</v>
      </c>
      <c r="F46" s="8">
        <v>8.3851496E7</v>
      </c>
      <c r="G46" s="22"/>
      <c r="H46" s="8" t="s">
        <v>120</v>
      </c>
      <c r="I46" s="8">
        <v>656.0</v>
      </c>
      <c r="J46" s="22"/>
      <c r="K46" s="22"/>
    </row>
    <row r="47" ht="22.5" customHeight="1">
      <c r="A47" s="17"/>
      <c r="B47" s="8" t="s">
        <v>2082</v>
      </c>
      <c r="C47" s="8" t="s">
        <v>1734</v>
      </c>
      <c r="D47" s="17">
        <v>9.760845238E9</v>
      </c>
      <c r="E47" s="8">
        <v>3.1702415E7</v>
      </c>
      <c r="F47" s="8">
        <v>1.7448296E7</v>
      </c>
      <c r="G47" s="22"/>
      <c r="H47" s="8" t="s">
        <v>1141</v>
      </c>
      <c r="I47" s="8">
        <v>9814.0</v>
      </c>
      <c r="J47" s="22"/>
      <c r="K47" s="22"/>
    </row>
    <row r="48" ht="22.5" customHeight="1">
      <c r="A48" s="17"/>
      <c r="B48" s="8"/>
      <c r="C48" s="8" t="s">
        <v>2083</v>
      </c>
      <c r="D48" s="17">
        <v>9.760837764E9</v>
      </c>
      <c r="E48" s="8">
        <v>2.2953315E7</v>
      </c>
      <c r="F48" s="8">
        <v>2.6377224E7</v>
      </c>
      <c r="G48" s="22"/>
      <c r="H48" s="8" t="s">
        <v>2016</v>
      </c>
      <c r="I48" s="8" t="s">
        <v>2084</v>
      </c>
      <c r="J48" s="7">
        <f>K48-180</f>
        <v>46000</v>
      </c>
      <c r="K48" s="7">
        <v>46180.0</v>
      </c>
    </row>
    <row r="49" ht="22.5" customHeight="1">
      <c r="A49" s="17"/>
      <c r="B49" s="8" t="s">
        <v>2085</v>
      </c>
      <c r="C49" s="8" t="s">
        <v>1739</v>
      </c>
      <c r="D49" s="17">
        <v>9.760844688E9</v>
      </c>
      <c r="E49" s="8">
        <v>7.7407978E7</v>
      </c>
      <c r="F49" s="8">
        <v>2.1193147E7</v>
      </c>
      <c r="G49" s="22"/>
      <c r="H49" s="8" t="s">
        <v>2086</v>
      </c>
      <c r="I49" s="8"/>
      <c r="J49" s="7">
        <v>46022.0</v>
      </c>
      <c r="K49" s="7">
        <f t="shared" ref="K49:K50" si="1">J49+180</f>
        <v>46202</v>
      </c>
      <c r="N49" s="56" t="s">
        <v>2087</v>
      </c>
    </row>
    <row r="50" ht="22.5" customHeight="1">
      <c r="A50" s="17"/>
      <c r="B50" s="8" t="s">
        <v>2088</v>
      </c>
      <c r="C50" s="8" t="s">
        <v>1741</v>
      </c>
      <c r="D50" s="17">
        <v>9.7608451E9</v>
      </c>
      <c r="E50" s="8">
        <v>1.3414282E7</v>
      </c>
      <c r="F50" s="8">
        <v>1.6399301E7</v>
      </c>
      <c r="G50" s="22"/>
      <c r="H50" s="8" t="s">
        <v>2089</v>
      </c>
      <c r="I50" s="8"/>
      <c r="J50" s="7">
        <v>46022.0</v>
      </c>
      <c r="K50" s="7">
        <f t="shared" si="1"/>
        <v>46202</v>
      </c>
      <c r="M50" s="56">
        <v>7188.0</v>
      </c>
      <c r="N50" s="56">
        <v>3.0</v>
      </c>
      <c r="O50" s="56">
        <v>5000.0</v>
      </c>
      <c r="P50" s="87">
        <f t="shared" ref="P50:P53" si="2">O50*N50</f>
        <v>15000</v>
      </c>
      <c r="Q50" s="56">
        <v>15000.0</v>
      </c>
    </row>
    <row r="51" ht="22.5" customHeight="1">
      <c r="A51" s="17"/>
      <c r="B51" s="8" t="s">
        <v>2090</v>
      </c>
      <c r="C51" s="8" t="s">
        <v>1834</v>
      </c>
      <c r="D51" s="17">
        <v>9.760844666E9</v>
      </c>
      <c r="E51" s="8">
        <v>2.9649203E7</v>
      </c>
      <c r="F51" s="8">
        <v>7.4601111E7</v>
      </c>
      <c r="G51" s="7">
        <v>46035.0</v>
      </c>
      <c r="H51" s="8" t="s">
        <v>2091</v>
      </c>
      <c r="I51" s="8">
        <v>4768.0</v>
      </c>
      <c r="J51" s="7">
        <v>46035.0</v>
      </c>
      <c r="K51" s="7"/>
      <c r="M51" s="56">
        <v>7189.0</v>
      </c>
      <c r="N51" s="56">
        <v>1.0</v>
      </c>
      <c r="O51" s="56">
        <v>5000.0</v>
      </c>
      <c r="P51" s="87">
        <f t="shared" si="2"/>
        <v>5000</v>
      </c>
      <c r="Q51" s="56">
        <v>15000.0</v>
      </c>
    </row>
    <row r="52" ht="22.5" customHeight="1">
      <c r="A52" s="17"/>
      <c r="B52" s="8" t="s">
        <v>2092</v>
      </c>
      <c r="C52" s="8" t="s">
        <v>1826</v>
      </c>
      <c r="D52" s="17">
        <v>9.760844748E9</v>
      </c>
      <c r="E52" s="8"/>
      <c r="F52" s="8"/>
      <c r="G52" s="22"/>
      <c r="H52" s="8" t="s">
        <v>2093</v>
      </c>
      <c r="I52" s="8"/>
      <c r="J52" s="22"/>
      <c r="K52" s="7"/>
      <c r="M52" s="56">
        <v>5947.0</v>
      </c>
      <c r="N52" s="56">
        <v>3.0</v>
      </c>
      <c r="O52" s="56">
        <v>5000.0</v>
      </c>
      <c r="P52" s="87">
        <f t="shared" si="2"/>
        <v>15000</v>
      </c>
      <c r="Q52" s="56">
        <v>15000.0</v>
      </c>
    </row>
    <row r="53" ht="22.5" customHeight="1">
      <c r="A53" s="17"/>
      <c r="B53" s="8" t="s">
        <v>2094</v>
      </c>
      <c r="C53" s="8" t="s">
        <v>1621</v>
      </c>
      <c r="D53" s="17">
        <v>9.760844711E9</v>
      </c>
      <c r="E53" s="8">
        <v>4.9532616E7</v>
      </c>
      <c r="F53" s="8">
        <v>1.6306221E7</v>
      </c>
      <c r="G53" s="7">
        <v>46059.0</v>
      </c>
      <c r="H53" s="8" t="s">
        <v>2095</v>
      </c>
      <c r="I53" s="8">
        <v>9908.0</v>
      </c>
      <c r="J53" s="22"/>
      <c r="K53" s="7"/>
      <c r="M53" s="56">
        <v>5946.0</v>
      </c>
      <c r="N53" s="56">
        <v>3.0</v>
      </c>
      <c r="O53" s="56">
        <v>5000.0</v>
      </c>
      <c r="P53" s="87">
        <f t="shared" si="2"/>
        <v>15000</v>
      </c>
      <c r="Q53" s="56">
        <v>15000.0</v>
      </c>
    </row>
    <row r="54" ht="22.5" customHeight="1">
      <c r="A54" s="17"/>
      <c r="B54" s="8" t="s">
        <v>2096</v>
      </c>
      <c r="C54" s="13" t="s">
        <v>586</v>
      </c>
      <c r="D54" s="17">
        <v>9.760844721E9</v>
      </c>
      <c r="E54" s="8"/>
      <c r="F54" s="8"/>
      <c r="G54" s="22"/>
      <c r="H54" s="8"/>
      <c r="I54" s="8"/>
      <c r="J54" s="22"/>
      <c r="K54" s="7"/>
      <c r="P54" s="87">
        <f t="shared" ref="P54:Q54" si="3">SUM(P50:P53)</f>
        <v>50000</v>
      </c>
      <c r="Q54" s="87">
        <f t="shared" si="3"/>
        <v>60000</v>
      </c>
    </row>
    <row r="55" ht="22.5" customHeight="1">
      <c r="A55" s="17"/>
      <c r="B55" s="8" t="s">
        <v>2097</v>
      </c>
      <c r="C55" s="13" t="s">
        <v>1873</v>
      </c>
      <c r="D55" s="17">
        <v>9.760844709E9</v>
      </c>
      <c r="E55" s="8"/>
      <c r="F55" s="8"/>
      <c r="G55" s="22"/>
      <c r="H55" s="8" t="s">
        <v>1868</v>
      </c>
      <c r="I55" s="8">
        <v>1272.0</v>
      </c>
      <c r="J55" s="22"/>
      <c r="K55" s="7"/>
      <c r="N55" s="56">
        <v>110000.0</v>
      </c>
    </row>
    <row r="56" ht="22.5" customHeight="1">
      <c r="A56" s="17"/>
      <c r="B56" s="8" t="s">
        <v>2098</v>
      </c>
      <c r="C56" s="8" t="s">
        <v>86</v>
      </c>
      <c r="D56" s="17">
        <v>9.760844708E9</v>
      </c>
      <c r="E56" s="8"/>
      <c r="F56" s="8"/>
      <c r="G56" s="22"/>
      <c r="H56" s="8" t="s">
        <v>1868</v>
      </c>
      <c r="I56" s="8">
        <v>1273.0</v>
      </c>
      <c r="J56" s="22"/>
      <c r="K56" s="7"/>
      <c r="N56" s="87">
        <f>25000</f>
        <v>25000</v>
      </c>
    </row>
    <row r="57" ht="22.5" customHeight="1">
      <c r="A57" s="17"/>
      <c r="B57" s="8" t="s">
        <v>2099</v>
      </c>
      <c r="C57" s="8" t="s">
        <v>1951</v>
      </c>
      <c r="D57" s="17">
        <v>9.760844715E9</v>
      </c>
      <c r="E57" s="8">
        <v>2.9389117E7</v>
      </c>
      <c r="F57" s="8">
        <v>5.2921381E7</v>
      </c>
      <c r="G57" s="22"/>
      <c r="H57" s="8" t="s">
        <v>2100</v>
      </c>
      <c r="I57" s="8">
        <v>2689.0</v>
      </c>
      <c r="J57" s="22"/>
      <c r="K57" s="7"/>
      <c r="N57" s="87">
        <f>N55-N56</f>
        <v>85000</v>
      </c>
    </row>
    <row r="58" ht="22.5" customHeight="1">
      <c r="A58" s="17"/>
      <c r="B58" s="8" t="s">
        <v>2101</v>
      </c>
      <c r="C58" s="8" t="s">
        <v>385</v>
      </c>
      <c r="D58" s="17">
        <v>9.760844827E9</v>
      </c>
      <c r="E58" s="8">
        <v>2.0896271E7</v>
      </c>
      <c r="F58" s="8">
        <v>1.3832142E7</v>
      </c>
      <c r="G58" s="22"/>
      <c r="H58" s="8" t="s">
        <v>2102</v>
      </c>
      <c r="I58" s="8">
        <v>3538.0</v>
      </c>
      <c r="J58" s="22"/>
      <c r="K58" s="7"/>
    </row>
  </sheetData>
  <dataValidations>
    <dataValidation type="custom" allowBlank="1" showDropDown="1" sqref="A2:A58 D2:D58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88" t="s">
        <v>2103</v>
      </c>
      <c r="B1" s="56" t="s">
        <v>2104</v>
      </c>
      <c r="C1" s="56" t="s">
        <v>2105</v>
      </c>
    </row>
    <row r="2">
      <c r="A2" s="56">
        <v>1.0</v>
      </c>
      <c r="B2" s="56" t="s">
        <v>2106</v>
      </c>
      <c r="C2" s="56" t="s">
        <v>2107</v>
      </c>
    </row>
    <row r="3">
      <c r="B3" s="56" t="s">
        <v>2108</v>
      </c>
      <c r="C3" s="56" t="s">
        <v>2109</v>
      </c>
    </row>
    <row r="4">
      <c r="B4" s="56" t="s">
        <v>2110</v>
      </c>
      <c r="C4" s="56" t="s">
        <v>2111</v>
      </c>
    </row>
    <row r="5">
      <c r="B5" s="56" t="s">
        <v>2112</v>
      </c>
      <c r="C5" s="56" t="s">
        <v>2113</v>
      </c>
    </row>
    <row r="6">
      <c r="B6" s="56" t="s">
        <v>2114</v>
      </c>
      <c r="C6" s="56" t="s">
        <v>2115</v>
      </c>
    </row>
    <row r="7">
      <c r="B7" s="56" t="s">
        <v>2116</v>
      </c>
      <c r="C7" s="56" t="s">
        <v>2117</v>
      </c>
    </row>
    <row r="8">
      <c r="B8" s="56" t="s">
        <v>2118</v>
      </c>
      <c r="C8" s="56" t="s">
        <v>2119</v>
      </c>
    </row>
    <row r="9">
      <c r="B9" s="56" t="s">
        <v>2120</v>
      </c>
      <c r="C9" s="56" t="s">
        <v>2121</v>
      </c>
    </row>
    <row r="10">
      <c r="B10" s="56" t="s">
        <v>2122</v>
      </c>
      <c r="C10" s="56" t="s">
        <v>2123</v>
      </c>
    </row>
    <row r="11">
      <c r="B11" s="56" t="s">
        <v>2124</v>
      </c>
      <c r="C11" s="56" t="s">
        <v>2125</v>
      </c>
    </row>
    <row r="12">
      <c r="B12" s="56" t="s">
        <v>2126</v>
      </c>
      <c r="C12" s="56" t="s">
        <v>2127</v>
      </c>
    </row>
    <row r="13">
      <c r="B13" s="56" t="s">
        <v>2128</v>
      </c>
      <c r="C13" s="56" t="s">
        <v>2129</v>
      </c>
    </row>
    <row r="14">
      <c r="B14" s="56" t="s">
        <v>2130</v>
      </c>
      <c r="C14" s="56" t="s">
        <v>2131</v>
      </c>
    </row>
    <row r="15">
      <c r="B15" s="56" t="s">
        <v>2132</v>
      </c>
      <c r="C15" s="56" t="s">
        <v>2133</v>
      </c>
    </row>
    <row r="16">
      <c r="B16" s="56" t="s">
        <v>2134</v>
      </c>
      <c r="C16" s="56" t="s">
        <v>2135</v>
      </c>
    </row>
    <row r="17">
      <c r="B17" s="56" t="s">
        <v>2136</v>
      </c>
      <c r="C17" s="56" t="s">
        <v>2137</v>
      </c>
    </row>
    <row r="18">
      <c r="B18" s="56" t="s">
        <v>2138</v>
      </c>
      <c r="C18" s="56" t="s">
        <v>2139</v>
      </c>
    </row>
    <row r="19">
      <c r="B19" s="56" t="s">
        <v>2140</v>
      </c>
      <c r="C19" s="56" t="s">
        <v>2141</v>
      </c>
    </row>
    <row r="20">
      <c r="B20" s="56" t="s">
        <v>2142</v>
      </c>
      <c r="C20" s="56" t="s">
        <v>2143</v>
      </c>
    </row>
    <row r="21">
      <c r="B21" s="56" t="s">
        <v>2144</v>
      </c>
      <c r="C21" s="56" t="s">
        <v>2145</v>
      </c>
    </row>
  </sheetData>
  <hyperlinks>
    <hyperlink r:id="rId1" ref="A1"/>
  </hyperlinks>
  <drawing r:id="rId2"/>
</worksheet>
</file>